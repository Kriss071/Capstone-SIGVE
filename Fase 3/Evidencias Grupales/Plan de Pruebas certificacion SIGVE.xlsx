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4.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Portada" sheetId="1" r:id="rId4"/>
    <sheet state="visible" name="Control" sheetId="2" r:id="rId5"/>
    <sheet state="visible" name="Plan de prueba (2)" sheetId="3" r:id="rId6"/>
    <sheet state="visible" name="DATOS 3" sheetId="4" r:id="rId7"/>
    <sheet state="visible" name="Datos" sheetId="5" r:id="rId8"/>
    <sheet state="hidden" name="Datos del plan" sheetId="6" r:id="rId9"/>
  </sheets>
  <definedNames/>
  <calcPr/>
  <extLst>
    <ext uri="GoogleSheetsCustomDataVersion2">
      <go:sheetsCustomData xmlns:go="http://customooxmlschemas.google.com/" r:id="rId10" roundtripDataChecksum="rFTQ28eZjtNq1i3QENLHa9WvKt2vm782SaeCC0ILI0Q="/>
    </ext>
  </extLst>
</workbook>
</file>

<file path=xl/sharedStrings.xml><?xml version="1.0" encoding="utf-8"?>
<sst xmlns="http://schemas.openxmlformats.org/spreadsheetml/2006/main" count="1484" uniqueCount="702">
  <si>
    <t>Plan de prueba software SIVGE</t>
  </si>
  <si>
    <t xml:space="preserve">Integrantes:
</t>
  </si>
  <si>
    <t>Casos</t>
  </si>
  <si>
    <t>OK</t>
  </si>
  <si>
    <t>NOK</t>
  </si>
  <si>
    <t>No ejecutado</t>
  </si>
  <si>
    <t>Bloqueado</t>
  </si>
  <si>
    <t>Obsoleto</t>
  </si>
  <si>
    <t>Total de casos</t>
  </si>
  <si>
    <t>% de  avance</t>
  </si>
  <si>
    <t>Total casos que ejecuto cada integrante del equipo</t>
  </si>
  <si>
    <t>Alumno 1</t>
  </si>
  <si>
    <t>Alumno 2</t>
  </si>
  <si>
    <t>Alumno 3</t>
  </si>
  <si>
    <t>Total Casos</t>
  </si>
  <si>
    <t xml:space="preserve"> </t>
  </si>
  <si>
    <t>ID</t>
  </si>
  <si>
    <t>Nombre de la prueba</t>
  </si>
  <si>
    <t>Tipo</t>
  </si>
  <si>
    <t>Resultado esperado</t>
  </si>
  <si>
    <t>Pre condicion</t>
  </si>
  <si>
    <t>Resultado obtenido</t>
  </si>
  <si>
    <t>Datos de prueba</t>
  </si>
  <si>
    <t>Modulo a probar</t>
  </si>
  <si>
    <t>Criterios de aceptacion</t>
  </si>
  <si>
    <t>Esatrategia</t>
  </si>
  <si>
    <t>Estado</t>
  </si>
  <si>
    <t>Candidata a atomatizacion</t>
  </si>
  <si>
    <t>Responsable ejecución</t>
  </si>
  <si>
    <t>Aplicacion Prueba</t>
  </si>
  <si>
    <t>MTC</t>
  </si>
  <si>
    <t>SIVG-AUTH-001</t>
  </si>
  <si>
    <t>Inicio de sesión exitoso - Administrador SELENIUM IDE</t>
  </si>
  <si>
    <t>No funcional</t>
  </si>
  <si>
    <t>El usuario es redirigido al dashboard de Administrador con el mensaje correspondiente</t>
  </si>
  <si>
    <t>Tener un usuario con rol 'Administrador' creado en la base de datos.</t>
  </si>
  <si>
    <t>Se logro acceder de forma correcta al panel de administrador, valdiando las credenciales</t>
  </si>
  <si>
    <t>Usuario: admin@prueba.cl, Contraseña: adminPrueba123</t>
  </si>
  <si>
    <t>Autenticación SIVGE</t>
  </si>
  <si>
    <t>El sistema debe validar las credenciales y permitir el acceso mostrando un mensaje correspondiente según el rol</t>
  </si>
  <si>
    <t>Caja Negra</t>
  </si>
  <si>
    <t>SI</t>
  </si>
  <si>
    <t>Sebastian caba</t>
  </si>
  <si>
    <t>Selenium</t>
  </si>
  <si>
    <t>SIVG-AUTH-002</t>
  </si>
  <si>
    <t>Inicio de sesión fallido - Contraseña incorrecta  SELENIUM IDE</t>
  </si>
  <si>
    <t>Funcional</t>
  </si>
  <si>
    <t>El sistema muestra un mensaje de error "Usuario o contraseña incorrectos" o similar.</t>
  </si>
  <si>
    <t>El usuario existe, pero la contraseña ingresada no es la correcta.</t>
  </si>
  <si>
    <t>se muestra una screen que te advierte de que las credenciales no son validad y que el acceso no es correcto por no poseer un rol</t>
  </si>
  <si>
    <t>Usuario: incorrecto@incorrecto.cl, Contraseña: contraseñaIncorrecta</t>
  </si>
  <si>
    <t>El sistema no debe permitir el acceso y debe notificar el error de forma genérica.</t>
  </si>
  <si>
    <t>Sebastian Caba</t>
  </si>
  <si>
    <t>SIVG-AUTH-003</t>
  </si>
  <si>
    <t>Inicio de sesión fallido - Campos vacíos  SELENIUM IDE</t>
  </si>
  <si>
    <t>El sistema muestra un mensajes de validación debajo de cada campo, ej: "Este campo es requerido".</t>
  </si>
  <si>
    <t>No Aplica</t>
  </si>
  <si>
    <t>Al ingresar con campos vacios, la pagina no da acceso a la informacion, pero tampoco arroja errores, se autorellena con las credenciales correctas</t>
  </si>
  <si>
    <t>Usuario: "", Contraseña: ""</t>
  </si>
  <si>
    <t>Autenticación</t>
  </si>
  <si>
    <t>No se debe realizar la petición al servidor. La validación debe ser en el cliente (frontend).</t>
  </si>
  <si>
    <t>SIVG-AUTH-004</t>
  </si>
  <si>
    <t xml:space="preserve">Cerrar sesión SELENIUM IDE
</t>
  </si>
  <si>
    <t>El usuario es redirigido a la página de login. El token de sesión se elimina del cliente (localStorage/cookies) y la sesión se invalida en el servidor.</t>
  </si>
  <si>
    <t>Un usuario debe estar logueado en el sistema.</t>
  </si>
  <si>
    <t>La app cierrta la sesion de forma correcta y tras haber cerrado la session no permite la redireccion a la pagina de vehiculos</t>
  </si>
  <si>
    <t>Usuario mecanico@prueba.cl hace clic en "Cerrar Sesión".</t>
  </si>
  <si>
    <t>Al intentar acceder a una página protegida después de cerrar sesión, se debe redirigir al login.</t>
  </si>
  <si>
    <t>SIVG-AUTH-005</t>
  </si>
  <si>
    <t>Intento de inicio de sesión con usuario deshabilitado</t>
  </si>
  <si>
    <t>El sistema muestra un mensaje de error "Esta cuenta ha sido deshabilitada".</t>
  </si>
  <si>
    <t>Tener un usuario existente con un flag 'activo=false'.</t>
  </si>
  <si>
    <t>el sistema no permite el inicio de sesion a usuarios inactivos</t>
  </si>
  <si>
    <t xml:space="preserve">Usuario: inactivo@taller.cl (usuario marcado como inactivo en BBDD)
</t>
  </si>
  <si>
    <t>El sistema debe verificar el estado del usuario antes de validar la contraseña.</t>
  </si>
  <si>
    <t>Matias lagos</t>
  </si>
  <si>
    <t>Manual</t>
  </si>
  <si>
    <t>SIVG-AUTH-006</t>
  </si>
  <si>
    <t>Intento de inyección SQL en campos de login</t>
  </si>
  <si>
    <t>El sistema muestra un mensaje de error "Usuario o contraseña incorrectos".</t>
  </si>
  <si>
    <t>No aplica</t>
  </si>
  <si>
    <t>user: ' OR '1'='1, pass: ' OR '1'='1</t>
  </si>
  <si>
    <t>Autenticación / Seguridad</t>
  </si>
  <si>
    <t>La consulta de autenticación debe estar parametrizada para prevenir inyección SQL. No se debe permitir el acceso.</t>
  </si>
  <si>
    <t>Caja Blanca</t>
  </si>
  <si>
    <t>Jmeter</t>
  </si>
  <si>
    <t>SIVG-AUTH-007</t>
  </si>
  <si>
    <t>Sesion concurrente del mismo usuario</t>
  </si>
  <si>
    <t>El sistema invalida la sesión previa y mantiene
solo la más reciente
(o permite ambas, según diseño).</t>
  </si>
  <si>
    <t>Usuario válido con sesión activa.</t>
  </si>
  <si>
    <t>El sistema permite ambas sesiones</t>
  </si>
  <si>
    <t>user: adminsigve@admin.cl</t>
  </si>
  <si>
    <t>El sistema debe manejar correctamente múltiples sesiones del mismo usuario.</t>
  </si>
  <si>
    <t>Caja Gris</t>
  </si>
  <si>
    <t>Matias Lagos</t>
  </si>
  <si>
    <t>SIVG-COM-001</t>
  </si>
  <si>
    <t>Compatibilidad entre navegadores (Firefox)</t>
  </si>
  <si>
    <t>El flujo completo (Iniciar sesión, Agregar Repuesto) funciona sin errores. Los modales y botones se renderizan correctamente.</t>
  </si>
  <si>
    <t>1. Navegador Mozilla Firefox (última versión) instalado.</t>
  </si>
  <si>
    <t>La web funciona identica que en Chrome</t>
  </si>
  <si>
    <t>Usar los mismos datos que SIVG-AUTH-001y ADMIN-INV-003.</t>
  </si>
  <si>
    <t>Autenticación / Inventario</t>
  </si>
  <si>
    <t>La aplicación debe ser 100% funcional en Firefox, idéntica a Chrome.</t>
  </si>
  <si>
    <t>SIVG-COM-002</t>
  </si>
  <si>
    <t>Compatibilidad entre navegadores (Edge/Safari)</t>
  </si>
  <si>
    <t>La tabla, botones y paginación se ven alineados correctamente, sin elementos superpuestos o rotos.</t>
  </si>
  <si>
    <t>1. Navegador Edge (o Safari) instalado.</t>
  </si>
  <si>
    <t>N/A (Es visual)</t>
  </si>
  <si>
    <t>Administración (Inventario)</t>
  </si>
  <si>
    <t>La UI debe ser visualmente consistente y funcional en Edge/Safari.</t>
  </si>
  <si>
    <t>NO</t>
  </si>
  <si>
    <t>SIVG-COM-003</t>
  </si>
  <si>
    <t>Diseño Responsive (Móvil) - Legibilidad</t>
  </si>
  <si>
    <t>La tabla de inventario se re-aloja. El texto es legible sin zoom. Botones son "presionables".</t>
  </si>
  <si>
    <t>1. Navegador Chrome (Desktop).
2. Herramientas de Desarrollo (F12) abiertas.
3. Simulación de dispositivo (ej. "iPhone 12").</t>
  </si>
  <si>
    <t>La aplicacion se adapta de forma correcta al formato de celular, es completamente responsive</t>
  </si>
  <si>
    <t>Simulación "iPhone 12"</t>
  </si>
  <si>
    <t>La UI debe ser utilizable y legible en dispositivos móviles, adaptando sus componentes.</t>
  </si>
  <si>
    <t>SIVG-COM-004</t>
  </si>
  <si>
    <t>Diseño Responsive (Móvil) - Funcionalidad</t>
  </si>
  <si>
    <t>El formulario (modal) se adapta a la pantalla. El teclado virtual NO tapa los campos. Botones Guardar/Cancelar son visibles.</t>
  </si>
  <si>
    <t>1. En simulación móvil (ver SIVG-COM-003).
2. Haga clic en "Agregar Repuesto".</t>
  </si>
  <si>
    <t>el formulario se adapta de forma correcta al formato de celular</t>
  </si>
  <si>
    <t>Los flujos clave (formularios) deben ser 100% funcionales en vista móvil.</t>
  </si>
  <si>
    <t>SIVG-USA-001</t>
  </si>
  <si>
    <t>Feedback de Usuario (Spinner de Carga)</t>
  </si>
  <si>
    <t>Usabilidad</t>
  </si>
  <si>
    <t>Debe aparecer un "spinner" o ícono de "Cargando..." mientras el sistema procesa la búsqueda.</t>
  </si>
  <si>
    <t>1. Admin logueado.
2. Módulo de Inventario.</t>
  </si>
  <si>
    <t>el sistema muestra un icono de carga cuando se ingresa al detalle del repuesto</t>
  </si>
  <si>
    <t>Campo de ›.</t>
  </si>
  <si>
    <t>El sistema debe proporcionar retroalimentación visual al usuario durante las acciones que tomen &gt; 1 segundo.</t>
  </si>
  <si>
    <t>SIVG-USA-002</t>
  </si>
  <si>
    <t>Consistencia de mensajes de error</t>
  </si>
  <si>
    <t>Todos los mensajes de error deben ser consistentes: Mismo color (rojo), misma ubicación y fácil de entender.</t>
  </si>
  <si>
    <t>1. Capacidad de provocar múltiples errores (Inicio de sesión, SKU duplicado, Stock negativo).</t>
  </si>
  <si>
    <t>Aparecen los mensajes de error de forma correcta</t>
  </si>
  <si>
    <t>Casos SIVG-AUTH-003, ADMIN-INV-004, ADMIN-INV-006.</t>
  </si>
  <si>
    <t>Global</t>
  </si>
  <si>
    <t>La experiencia del usuario ante errores debe ser uniforme y predecible.</t>
  </si>
  <si>
    <t>SIGV-TAL-001</t>
  </si>
  <si>
    <t>Crear Taller - Éxito (Admin)Selenium</t>
  </si>
  <si>
    <t>El modal se cierra. Un "brindis" de éxito (ej. "Taller creado") es visible.</t>
  </si>
  <si>
    <t>1. Admin logueado.
2. Estar en Dashboard Admin.</t>
  </si>
  <si>
    <t>La prueba automatizada fue un exito, se logro crear un taller con las credenciales de  amdinsigve</t>
  </si>
  <si>
    <t>name: "Taller Selenio 1mecanicos felices", address: "feliz2354", email: "feliz@gmail.com"</t>
  </si>
  <si>
    <t>Administración SIVGE(Taller)</t>
  </si>
  <si>
    <t>El usuario puede crear un taller y recibir retroalimentación visual de éxito.</t>
  </si>
  <si>
    <t>SIGV-TAL-002</t>
  </si>
  <si>
    <t>Crear Taller - Validación (Nombre vacío) Selenium</t>
  </si>
  <si>
    <t>El modal no se cierra. El texto de error "Este campo es requerido" es visible bajo el campo name.</t>
  </si>
  <si>
    <t>se logro automatizar esta prueba, a travez de selenium, la app no permite la rcreacion del taller con el campo nombre vacio.</t>
  </si>
  <si>
    <t>name: "</t>
  </si>
  <si>
    <t>Administración SIVGE (Taller)</t>
  </si>
  <si>
    <t>El sistema debe validar campos obligatorios en el frontend.</t>
  </si>
  <si>
    <t>SIGV-TAL-003</t>
  </si>
  <si>
    <t>Crear Taller - Duplicado (Nombre) Selenium</t>
  </si>
  <si>
    <t>El modal no se cierra. Un "brindis" de error (ej. "Un taller con este nombre ya existe") es visible.</t>
  </si>
  <si>
    <t>1. Admin logueado.
2. Ya existe "Taller Selenium 1".</t>
  </si>
  <si>
    <t>el taller no permite la creacion de talleres duplicados y notifica error</t>
  </si>
  <si>
    <t>name"Taller Selenium 1"</t>
  </si>
  <si>
    <t>El servidor debe rechazar duplicados y notificar al usuario en la UI.</t>
  </si>
  <si>
    <t>Sebastian  Caba</t>
  </si>
  <si>
    <t>SIGV-TAL-004</t>
  </si>
  <si>
    <t>Borrar Taller - Éxito (Admin) selenium</t>
  </si>
  <si>
    <t>Aparece el modo de confirmación. Al confirmar, el taller desaparece de la lista.</t>
  </si>
  <si>
    <t xml:space="preserve"> se logro automatizar el proceso de borrado de un taller de forma exitosa con selenium ide</t>
  </si>
  <si>
    <t>se logro automatizar el proceso de borrado de un taller de forma exitosa con selenium ide</t>
  </si>
  <si>
    <t>El usuario puede eliminar un taller y este desaparece de la UI.</t>
  </si>
  <si>
    <t>SIGV-TAL-005</t>
  </si>
  <si>
    <t>Actualizar Taller - Éxito (Admin)</t>
  </si>
  <si>
    <t>El modal se cierra. "Toast" de éxito es visible. El teléfonose actualiza en la lista.</t>
  </si>
  <si>
    <t>1. Admin logueado.
2. Existe "Taller Selenium 1".</t>
  </si>
  <si>
    <t>el sistema permite actualizar el numero de telefono de forma correcta</t>
  </si>
  <si>
    <t>phone"+56954600683"</t>
  </si>
  <si>
    <t>AdministraciónSIVGE (Taller)</t>
  </si>
  <si>
    <t>El usuario puede editar un taller y el cambio persiste.</t>
  </si>
  <si>
    <t>SIGV-TAL-006</t>
  </si>
  <si>
    <t>Actualizar Taller - Validación (Vacío)</t>
  </si>
  <si>
    <t>El modal no se cierra. Error "Este campo es requerido" es visible bajo el campo name.</t>
  </si>
  <si>
    <t>el sistemite la actualizacion del taller con el campo "nombre" vacio</t>
  </si>
  <si>
    <t>El sistema valida campos obligatorios al actualizar.</t>
  </si>
  <si>
    <t>SIGV-TAL-007</t>
  </si>
  <si>
    <t>Buscar Taller (Éxito)</t>
  </si>
  <si>
    <t>La lista se filtra y solo muestra "Taller Selenium 1".</t>
  </si>
  <si>
    <t>1. Admin logueado.
2. Existen "Taller Selenium 1".</t>
  </si>
  <si>
    <t>se encuentra el taller de forma correcta</t>
  </si>
  <si>
    <t>search"Taller Selenium 1"</t>
  </si>
  <si>
    <t>Administración SIVGE(taller</t>
  </si>
  <si>
    <t>La funcionalidad de búsqueda filtra correctamente la lista.</t>
  </si>
  <si>
    <t>SIGV-TAL-008</t>
  </si>
  <si>
    <t>Validar formato de correo electrónico al crear taller</t>
  </si>
  <si>
    <t>Si el correo ingresado no tiene formato válido, se muestra mensaje “Correo no válido” y no se guarda el registro.</t>
  </si>
  <si>
    <t>1. Usuario adminsigve@admin.cl logueado.
2. Estar en módulo Talleres.</t>
  </si>
  <si>
    <t>El sistema no deja registrar el taller debido a un formato de correo inválido</t>
  </si>
  <si>
    <t>name: “Taller Selenium 1”
correo: “correo@@.cl”</t>
  </si>
  <si>
    <t>Administración (Taller)</t>
  </si>
  <si>
    <t>El sistema valida formato de correo antes de guardar.</t>
  </si>
  <si>
    <t>Matías Lagos</t>
  </si>
  <si>
    <t>SIGV-TAL-009</t>
  </si>
  <si>
    <t>Cancelar creación de taller</t>
  </si>
  <si>
    <t>Al presionar “Cancelar” en el modal de creación, este se cierra sin crear registro ni error en consola.</t>
  </si>
  <si>
    <t>El modal se cierra correctamente sin guardar registros</t>
  </si>
  <si>
    <t>name: “Taller Test Cancelado”</t>
  </si>
  <si>
    <t>El modal se cierra sin crear registro.</t>
  </si>
  <si>
    <t>SIGV-TAL-010</t>
  </si>
  <si>
    <t>Validar formato numérico en teléfono</t>
  </si>
  <si>
    <t>Si se ingresan letras o símbolos en el campo teléfono, el sistema muestra “Debe ser un número válido” y no guarda.</t>
  </si>
  <si>
    <t>El sistema permite guardar valores no numericos</t>
  </si>
  <si>
    <t>Teléfono: “abc123”</t>
  </si>
  <si>
    <t>El sistema impide guardar valores no numéricos.</t>
  </si>
  <si>
    <t>SIGV-TAL-011</t>
  </si>
  <si>
    <t>Buscar Taller por nombre parcial</t>
  </si>
  <si>
    <t>Al escribir parte del nombre de un taller en el buscador, se muestran solo los talleres coincidentes.</t>
  </si>
  <si>
    <t>1. Usuario adminsigve@admin.cl logueado.
2. Existen varios talleres registrados.</t>
  </si>
  <si>
    <t>El sistema muestra talleres con coincidencias de nombre parcial</t>
  </si>
  <si>
    <t>búsqueda: “Taller Hnos”</t>
  </si>
  <si>
    <t>El sistema muestra talleres con coincidencias parciales según la búsqueda.</t>
  </si>
  <si>
    <t>SIGV-TAL-012</t>
  </si>
  <si>
    <t>Eliminar Taller - Confirmar eliminación</t>
  </si>
  <si>
    <t>Al confirmar la eliminación de un taller, este desaparece del listado.</t>
  </si>
  <si>
    <t>1. Usuario adminsigve@admin.cl logueado.
2. Existir al menos un taller creado.</t>
  </si>
  <si>
    <t>El sistema elimina correctamente el taller</t>
  </si>
  <si>
    <t>name: “Tallerr prueba”</t>
  </si>
  <si>
    <t>El sistema elimina correctamente el registro seleccionado tras presionar "Eliminar"</t>
  </si>
  <si>
    <t>SIGV-CUA-001</t>
  </si>
  <si>
    <t>Crear Cuartel - Éxito (Admin)</t>
  </si>
  <si>
    <t>El modal se cierra. Un "brindis" de éxito (ej. "Cuartel creado") es visible.</t>
  </si>
  <si>
    <t>la app pudo crear de forma correcta el cuartel mediante selenium</t>
  </si>
  <si>
    <t>name: "Cuartel Selenio 1", address: "Av. Ppal 1", email: "cuartel1@test.cl"</t>
  </si>
  <si>
    <t>Administración (Cuartel)</t>
  </si>
  <si>
    <t>El usuario puede crear un cuartel y recibir retroalimentación visual de éxito.</t>
  </si>
  <si>
    <t>SIGV-CUA-002</t>
  </si>
  <si>
    <t>Crear Cuartel - Validación (Nombre vacío)mselenium</t>
  </si>
  <si>
    <t>El modal no se cierra. El texto de error "Este campo es requerido" es visible.</t>
  </si>
  <si>
    <t>la app no permite la creacion de un taller con el campo de nombre nulo</t>
  </si>
  <si>
    <t>SIGV-CUA-003</t>
  </si>
  <si>
    <t>Crear Cuartel - Duplicado (Nombre)</t>
  </si>
  <si>
    <t>El modal no se cierra. Un "brindis" de error (ej. "Un cuartel con este nombre ya existe") es visible.</t>
  </si>
  <si>
    <t>1. Admin logueado.
2. Ya existe "Cuartel Selenio 1".</t>
  </si>
  <si>
    <t>No permite la creacion de un cuartel duplicado</t>
  </si>
  <si>
    <t>name: "Cuartel Selenium 1"</t>
  </si>
  <si>
    <t>Sebatian Caba</t>
  </si>
  <si>
    <t>SIGV-CUA-004</t>
  </si>
  <si>
    <t>Crear Cuartel - Seguridad (Mecánico)</t>
  </si>
  <si>
    <t>Seguridad (UI)</t>
  </si>
  <si>
    <t>La prueba pasa si el elemento (botón) no se encuentra.</t>
  </si>
  <si>
    <t>1. administrador taller  logueado.
2. Navegar a /administracion/dashboard/.</t>
  </si>
  <si>
    <t>al logearme con credenciales de administracion del taller mecanico el sistema redirecciona automaticamente al panel de administracion de taller, no permite la visualizacion del panel de adminitracion de SIVGE donde se crean los cuarteles, es decir, no tiene acceso</t>
  </si>
  <si>
    <t>El botón "Crear Cuartel" no debe ser visible/existir en el DOM para el rol Mecánico.</t>
  </si>
  <si>
    <t>SIGV-CUA-005</t>
  </si>
  <si>
    <t>Borrar Cuartel - Éxito (Admin)</t>
  </si>
  <si>
    <t>Aparece el modo de confirmación. Al confirmar, el cuartel desaparece de la lista.</t>
  </si>
  <si>
    <t>1. Admin logueado.
2. Existe "Cuartel Selenio 1".</t>
  </si>
  <si>
    <t>El sistema permite borrar con exito un cuartel</t>
  </si>
  <si>
    <t>El usuario puede eliminar un cuartel y este desaparece de la UI.</t>
  </si>
  <si>
    <t>SIGV-CUA-006</t>
  </si>
  <si>
    <t>Actualizar Cuartel - Éxito (Admin)</t>
  </si>
  <si>
    <t>El modal se cierra. "Toast" de éxito es visible. La direcciónse actualiza en la lista.</t>
  </si>
  <si>
    <t>El sistema me permite actualizar la direccion del cuartel de forma correcta</t>
  </si>
  <si>
    <t>address"Nueva Dirección 456"</t>
  </si>
  <si>
    <t>El usuario puede editar un cuartel y el cambio persiste.</t>
  </si>
  <si>
    <t>SIGV-CUA-007</t>
  </si>
  <si>
    <t>Actualizar Cuartel - Validación (Vacío)</t>
  </si>
  <si>
    <t>El modal no se cierra. Error "Este campo es requerido" es visible bajo el campo address.</t>
  </si>
  <si>
    <t>1. clicken "Editar" de "Cuartel Selenio 1".
2. clear campo address.
3. click en "Guardar".
4. assert texto de error es visible.</t>
  </si>
  <si>
    <t>Direccion: " "</t>
  </si>
  <si>
    <t>SIGV-CUA-008</t>
  </si>
  <si>
    <t>Actualizar Cuartel - Cancelar Edición</t>
  </si>
  <si>
    <t>El modal se cierra. 
La dirección NO se actualiza en la lista.</t>
  </si>
  <si>
    <t>1. Admin logueado.
2. Existe "Cuartel Selenio 1" (dir: "Av 123").</t>
  </si>
  <si>
    <t>1. clicken "Editar" de "Cuartel 1".
2. clear campo address.
3. send_keys"Calle 999".
4. click en "Cancelar".
5. assert la dirección en la lista sigue siendo "Av 123".</t>
  </si>
  <si>
    <t>address"Calle 999"</t>
  </si>
  <si>
    <t>El botón "Cancelar" debe descartar los cambios.</t>
  </si>
  <si>
    <t>SIGV-CUA-009</t>
  </si>
  <si>
    <t>Buscar Cuartel (Éxito)</t>
  </si>
  <si>
    <t>La lista se filtra y solo muestra "Cuartel Selenium 1".</t>
  </si>
  <si>
    <t>1. Admin logueado.
2. Existen "Cuartel Selenio 1"</t>
  </si>
  <si>
    <t>1. send_keys"Cuartel Selenium 1" al campo de búsqueda.
2. clicken "Buscar".
3. assert"Cuartel 2" no es visible.</t>
  </si>
  <si>
    <t>search: "Cuartel Selenium 1"</t>
  </si>
  <si>
    <t>SIGV-CUA-010</t>
  </si>
  <si>
    <t>Cancelar edición de cuartel</t>
  </si>
  <si>
    <t>Al presionar “Cancelar” durante la edición, los datos originales se mantienen sin cambios.</t>
  </si>
  <si>
    <t>1. Usuario adminsigve@admin.cl logueado. 
2. Existir al menos un cuartel creado.</t>
  </si>
  <si>
    <t>El sistema no aplica cambios al presionar el boton cancelar</t>
  </si>
  <si>
    <t>Cuartel: “Cuartel 1”</t>
  </si>
  <si>
    <t>El botón “Cancelar” no debe aplicar cambios.</t>
  </si>
  <si>
    <t>SIGV-CUA-011</t>
  </si>
  <si>
    <t>Buscar Cuartel por nombre</t>
  </si>
  <si>
    <t>Al escribir el nombre completo o parcial de un cuartel, se muestra solo el resultado correspondiente.</t>
  </si>
  <si>
    <t>1. Usuario adminsigve@admin.cl logueado.
2. Existen varios cuarteles registrados.</t>
  </si>
  <si>
    <t>El sistema muestra cuarteles con coincidencias de nombre parcial</t>
  </si>
  <si>
    <t>búsqueda: “Primera”</t>
  </si>
  <si>
    <t>El buscador filtra correctamente la lista de cuarteles.</t>
  </si>
  <si>
    <t>SIGV-REP-001</t>
  </si>
  <si>
    <t>Crear Repuesto - Éxito (Admin)SELENIUM</t>
  </si>
  <si>
    <t>El modal se cierra. Aparece "brindis" de éxito. El repuesto aparece en la lista.</t>
  </si>
  <si>
    <t>el sistema permite la creacion de un repuesto mediante selenium ide</t>
  </si>
  <si>
    <t>name: "Filtro Aire Selenio", sku: "SKU-SEL-001", stock: 10, vehicle_type_id: "Carro Bomba"</t>
  </si>
  <si>
    <t>Administración (Repuesto)</t>
  </si>
  <si>
    <t>El usuario puede crear un repuesto y recibir retroalimentación visual.</t>
  </si>
  <si>
    <t>SIGV-REP-002</t>
  </si>
  <si>
    <t>Crear Repuesto - Validación (SKU vacío) SELENIUM</t>
  </si>
  <si>
    <t>El modal no se cierra. Aparece el error "Este campo es requerido" bajo sku.</t>
  </si>
  <si>
    <t>el sistema no permite la creacion de un repuesto sin sku</t>
  </si>
  <si>
    <t>sku: "</t>
  </si>
  <si>
    <t>SIGV-REP-003</t>
  </si>
  <si>
    <t>Crear Repuesto - Duplicado (SKU)</t>
  </si>
  <si>
    <t>El modal no se cierra. Aparece "tostado" de error "Un repuesto con este SKU ya existe".</t>
  </si>
  <si>
    <t>1. Admin logueado.
2. Ya existe "SKU-SEL-001".</t>
  </si>
  <si>
    <t>El sistema no permite la creacion de un repuesto con SKU ya existente, notifica que no es posible la creacion del repuesto</t>
  </si>
  <si>
    <t>sku"SKU-SEL-001"</t>
  </si>
  <si>
    <t>SIGV-REP-004</t>
  </si>
  <si>
    <t>Crear Repuesto - Seguridad (Mecánico)</t>
  </si>
  <si>
    <t>1. Mecánico logueado.
2. Navegar a /administracion/dashboard/.</t>
  </si>
  <si>
    <t>Directamente el sistema al no permite la visualizacion del panel de administracion de sivge a los mecanicos ni a los administradores de talleres</t>
  </si>
  <si>
    <t>El botón "Crear Repuesto" no debe ser visible/existir en el DOM para el rol Mecánico.</t>
  </si>
  <si>
    <t>SIGV-REP-005</t>
  </si>
  <si>
    <t>Actualizar Repuesto - Éxito Nombre</t>
  </si>
  <si>
    <t>El modal se cierra. "Toast" de éxito es visible.el nombre se actualiza</t>
  </si>
  <si>
    <t>1. Admin logueado.
2. Existe filtro de aire 1</t>
  </si>
  <si>
    <t>EL sistema permite la actualizacion del nombre de forma correcta y se visualiza de forma instantanea en la lista de respuestos</t>
  </si>
  <si>
    <t>filtros de aire 1</t>
  </si>
  <si>
    <t>El usuario puede editar un repuesto y el cambio persiste.</t>
  </si>
  <si>
    <t>SIGV-REP-006</t>
  </si>
  <si>
    <t>Buscar Repuesto (por SKU)</t>
  </si>
  <si>
    <t>La lista se filtra y solo muestra "NGK-BKR6EIX".</t>
  </si>
  <si>
    <t>1. Admin logueado.
2. Existen NGK-BKR6EIX"</t>
  </si>
  <si>
    <t>El sistema muesra solamente el SKU en busqueda</t>
  </si>
  <si>
    <t>search"NGK-BKR6EIX"</t>
  </si>
  <si>
    <t>La búsqueda por SKU filtra correctamente la lista.</t>
  </si>
  <si>
    <t>SIGV-REP-007</t>
  </si>
  <si>
    <t>Validar campo obligatorio “Nombre” vacío</t>
  </si>
  <si>
    <t>Al intentar guardar un repuesto sin ingresar el nombre del repuesto, el sistema muestra mensaje de error “Este campo es requerido”.</t>
  </si>
  <si>
    <t>1. Usuario adminsigve@admin.cl logueado.
2. Estar en módulo Repuestos.</t>
  </si>
  <si>
    <t>El sistema impide guardar el repuesto si el campo está vacio</t>
  </si>
  <si>
    <t>nombre del repuesto vacio</t>
  </si>
  <si>
    <t>El sistema impide guardar si el campo “Nombre del repuesto” está vacío.</t>
  </si>
  <si>
    <t>SIGV-REP-008</t>
  </si>
  <si>
    <t>Buscar repuesto por SKU parcial</t>
  </si>
  <si>
    <t>Al ingresar parte del SKU en el buscador, se muestran solo los repuestos coincidentes.</t>
  </si>
  <si>
    <t>1. Usuario adminsigve@admin.cl logueado.
2. Existen repuestos con distintos SKU.</t>
  </si>
  <si>
    <t>El sistema filtra correctamente el repuesto con solo el parcial de su nombre</t>
  </si>
  <si>
    <t>búsqueda: “NGK”</t>
  </si>
  <si>
    <t>El buscador filtra correctamente por coincidencia parcial del SKU.</t>
  </si>
  <si>
    <t>SIGV-REP-009</t>
  </si>
  <si>
    <t>Ver detalle de repuesto</t>
  </si>
  <si>
    <t>Al hacer clic en el repuesto, el sistema muestra un modal o ventana con la información completa del repuesto.</t>
  </si>
  <si>
    <t>1. Usuario adminsigve@admin.cl logueado.
2. Existen repuestos creados en el sistema.</t>
  </si>
  <si>
    <t>El sistema muestra correctamente los detalles del repuesto</t>
  </si>
  <si>
    <t>SHELL-R4-20L</t>
  </si>
  <si>
    <t>El sistema despliega correctamente los datos del repuesto seleccionado sin errores visuales.</t>
  </si>
  <si>
    <t>SIGV-DASH-001</t>
  </si>
  <si>
    <t>Navegación entre módulos desde el menú superior</t>
  </si>
  <si>
    <t>Al hacer clic en las opciones del menú (Talleres, Cuarteles, Repuestos, Vehículos), el sistema redirige correctamente sin errores ni recargas completas.</t>
  </si>
  <si>
    <t>1. Usuario adminsigve@admin.cl logueado. 
2. Estar en Dashboard del sistema.</t>
  </si>
  <si>
    <t>El sistema permite navegar correctamente entre módulos sin errores</t>
  </si>
  <si>
    <t>Usuario: adminsigve@admin.cl
Contraseña: adminsigve</t>
  </si>
  <si>
    <t>Dashboard (Administrador)</t>
  </si>
  <si>
    <t>El sistema permite navegar entre módulos sin errores de carga.</t>
  </si>
  <si>
    <t>SIGV-DASH-002</t>
  </si>
  <si>
    <t>Visualización de contadores en Dashboard</t>
  </si>
  <si>
    <t>Los contadores de registros (Talleres, Cuarteles, Vehículos, Repuestos) muestran valores correctos según la base de datos.</t>
  </si>
  <si>
    <t>1. Usuario adminsigve@admin.cl logueado. 
2. Existen registros en cada módulo.</t>
  </si>
  <si>
    <t>El sistema refleja correctamente los valores registrados</t>
  </si>
  <si>
    <t>Usuario: adminsigve@admin.cl</t>
  </si>
  <si>
    <t>Los valores mostrados reflejan el número real de registros existentes.</t>
  </si>
  <si>
    <t>ADMIN-AUTH-001</t>
  </si>
  <si>
    <t>Inicio de sesión exitoso - Mecánico SELENIUM IDE</t>
  </si>
  <si>
    <t>El usuario es redirigido al dashboard de Mecánico con el mencaje correspondiente</t>
  </si>
  <si>
    <t>Tener un usuario con rol 'Mecánico' creado en la base de datos.</t>
  </si>
  <si>
    <t>el mecanico accede al listado de verhiculos movil</t>
  </si>
  <si>
    <t>Usuario: mecanico@mecanico.cl, Contraseña: mecanico123</t>
  </si>
  <si>
    <t>Autenticación ADMIN TALLER</t>
  </si>
  <si>
    <t>El sistema debe validar las credenciales y permitir el acceso mostrando un mensaje correspondiente según el rol.</t>
  </si>
  <si>
    <t>ADMIN-AUTH-002</t>
  </si>
  <si>
    <t>Al ingresar con campos vacios, la pagina no da acceso a la informacion.</t>
  </si>
  <si>
    <t>ADMIN-AUTH-003</t>
  </si>
  <si>
    <t>Acceso no autorizado a funciones de Administrador JMETER</t>
  </si>
  <si>
    <t>El sistema deniega el acceso o redirige a una página de error.</t>
  </si>
  <si>
    <t>Un usuario con rol 'Mecánico' intenta acceder a una URL de administración.</t>
  </si>
  <si>
    <t>la pagina web no permite la visualizacion del panel de administracion a usuarios con roles diferentes al administrador</t>
  </si>
  <si>
    <t>Usuario 'mecanico@mecanico.cl' intenta acceder a /administracion/dashboard/</t>
  </si>
  <si>
    <t>Autenticación / Roles</t>
  </si>
  <si>
    <t>El sistema debe validar el rol del usuario en cada petición a un recurso protegido.</t>
  </si>
  <si>
    <t>ADMIN-AUTH-004</t>
  </si>
  <si>
    <t>ADMIN-VEH-001</t>
  </si>
  <si>
    <t>Registrar nuevo vehículo - Administrador</t>
  </si>
  <si>
    <t>El vehículo se crea exitosamente, aparece en el listado de vehículos con estado 'Disponible' y se muestra Toast con confirmación.</t>
  </si>
  <si>
    <t>Usuario logueado como Administrador.</t>
  </si>
  <si>
    <t>se logra ingresar vehiculo con las credenciales de administrador</t>
  </si>
  <si>
    <t>Patente: AAA34, Marca: honda, Modelo: civic, Año: 2018</t>
  </si>
  <si>
    <t>Vehículos</t>
  </si>
  <si>
    <t>Todos los campos obligatorios deben ser validados. El vehículo debe guardarse en la BBDD.</t>
  </si>
  <si>
    <t>ADMIN-VEH-002</t>
  </si>
  <si>
    <t>Registrar nuevo vehículo con campos obligatorios vacios - Adminsitrador</t>
  </si>
  <si>
    <t>El sistema muestra un mensaje de error indicando qué campos son necesarios.</t>
  </si>
  <si>
    <t>la aplicacion no permite la creacion  de un vehiculo con el campo de "patenten" vacio, cumpliendo su funcion</t>
  </si>
  <si>
    <t>Patente: "", Marca: "HYUNDAI", Modelo: "ACCENT"</t>
  </si>
  <si>
    <t>El sistema no debe permitir la creación del registro si faltan datos esenciales (ej. patente, modelo).</t>
  </si>
  <si>
    <t>Sabastian Caba</t>
  </si>
  <si>
    <t>ADMIN-VEH-003</t>
  </si>
  <si>
    <t>Visualizar listado de vehículos - Mecánico</t>
  </si>
  <si>
    <t>El mecánico puede ver la lista completa de vehículos y sus estados actuales.</t>
  </si>
  <si>
    <t>Usuario logueado como Mecánico.</t>
  </si>
  <si>
    <t>La aplicacionpermitr la visualizacion del listado de veehiculos mediante la aplicacion movil con las credenciales  de mecanico</t>
  </si>
  <si>
    <t>La interfaz debe mostrar claramente la información relevante de cada vehículo.</t>
  </si>
  <si>
    <t>ADMIN-VEH-004</t>
  </si>
  <si>
    <t>(JMeter) Prueba de Carga - Listado de Vehículos</t>
  </si>
  <si>
    <t>Carga</t>
  </si>
  <si>
    <t>El tiempo de respuesta promedio de la API se mantiene bajo 2 segundos. Tasa de error &lt; 1%.</t>
  </si>
  <si>
    <t>Script de JMeter creado. API de listado (GET /api/vehiculos) identificada. Usuario Admin logueado.</t>
  </si>
  <si>
    <t>Se obtuvo un resultado excelente dado que con una carga de 50 usuarios en 1 minuto presento 0% de error en la carga del listado de vehiculos</t>
  </si>
  <si>
    <t>Simulación: 50 usuarios concurrentes, Ramp-up: 5 seg, Duración: 1 min.</t>
  </si>
  <si>
    <t>Vehículos (Backend)</t>
  </si>
  <si>
    <t>El servidor no debe generar errores 5xx bajo la carga concurrente.</t>
  </si>
  <si>
    <t>ADMIN-VEH-006</t>
  </si>
  <si>
    <t xml:space="preserve"> Intentar agregar vehículo con rol "Mecánico"</t>
  </si>
  <si>
    <t>Rendimiento</t>
  </si>
  <si>
    <t>El servidor responde con un error 403 (Forbidden)o 401 (Unauthorized). El vehículo NO se crea.</t>
  </si>
  <si>
    <t>Obtener un token de sesión válido de un 'Mecánico' (usando AUT-002[fuente 4]).</t>
  </si>
  <si>
    <t>si bien a nivel backend y front-end la app no permite la creacion de vehiculos al mecanico en el ambito web que es creado para ael administrador, la app debia devolver un error 403 y devolvio un 200, es decir que falta mejorar el servidor</t>
  </si>
  <si>
    <t>Enviar POST a /api/vehiculos/crear usando el token de 'Mecánico'.</t>
  </si>
  <si>
    <t>Vehículos / Roles</t>
  </si>
  <si>
    <t>La API debe validar el rol del usuario antes de procesar la creación.</t>
  </si>
  <si>
    <t>obsoleto</t>
  </si>
  <si>
    <t>ADMIN-VEH-007</t>
  </si>
  <si>
    <t>(JMeter - API) Intentar agregar vehículo con Patente duplicada</t>
  </si>
  <si>
    <t>La API responde con un error de validación (ej. 400 Bad Requesto 409 Conflict) y un mensaje claro.</t>
  </si>
  <si>
    <t>Existe un vehículo con patente "ABCD-12" (creado en VEH-001[fuente 10]). Usuario Admin logueado.</t>
  </si>
  <si>
    <t>si bien el sisterma no opermite la creacion de vehiculos, no devuelv el error que corresponde, falta configurar el servidor</t>
  </si>
  <si>
    <t>Enviar POST a /api/vehiculos/crear con Patente: "ABCD-12".</t>
  </si>
  <si>
    <t>La validación de duplicados debe funcionar a nivel de API, no solo en el frontend.</t>
  </si>
  <si>
    <t>Seabstian Caba</t>
  </si>
  <si>
    <t>ADMIN-OT-001</t>
  </si>
  <si>
    <t>Visualizar lista de Órdenes de Trabajo (Admin)</t>
  </si>
  <si>
    <t>El Admin ve la página con la tabla de "Órdenes de Trabajo".</t>
  </si>
  <si>
    <t>1. Admin logueado.</t>
  </si>
  <si>
    <t>el sitema permite la visualizacion de la lista de ordenes de forma correcta al estar logeado como adminmecnico.</t>
  </si>
  <si>
    <t>Administración taller (OT)</t>
  </si>
  <si>
    <t>El Admin puede acceder y ver la lista de órdenes.</t>
  </si>
  <si>
    <t>ADMIN-OT-002</t>
  </si>
  <si>
    <t>Navegación a "Nueva Orden de Trabajo"</t>
  </si>
  <si>
    <t>Se redirige a la página o formulario para crear una nueva OT (ej. .../add/).</t>
  </si>
  <si>
    <t>1. Admin logueado.
2. Estar en /administracion/orden-trabajo/.</t>
  </si>
  <si>
    <t xml:space="preserve">Se logra navegafr de forma correcta a la creacion de una nueva ot luego de logearse como administrador </t>
  </si>
  <si>
    <t>El botón de "Nueva" debe navegar al formulario de creación.</t>
  </si>
  <si>
    <t>ADMIN-OT-003</t>
  </si>
  <si>
    <t>Modificar estado de Orden de Trabajo - Éxito (Admin)</t>
  </si>
  <si>
    <t>el estado de la Ot cambia de "pendiente " a "terminada"</t>
  </si>
  <si>
    <t>1. Admin logueado.
2. Estar en /administracion/orden-trabajo/.
3. Existe la "OT-001".</t>
  </si>
  <si>
    <t>El usuario administrador de taller permite el cambio de estado</t>
  </si>
  <si>
    <t>"orden:17"</t>
  </si>
  <si>
    <t>el usuario administrador de taller puede modificar el estado de la ot</t>
  </si>
  <si>
    <t>ADMIN-OT-004</t>
  </si>
  <si>
    <t>Asignar orden de trabajo</t>
  </si>
  <si>
    <t>Se redirige a la página o formulario para editar esa OT (ej. .../edit/1/).</t>
  </si>
  <si>
    <t>el sistema permite al susuario administrador asignar una tarea a un mecanico</t>
  </si>
  <si>
    <t>"OT-001"</t>
  </si>
  <si>
    <t>se asigna la tarea a un mecanico</t>
  </si>
  <si>
    <t>ADMIN-OT-005</t>
  </si>
  <si>
    <t>Buscar Orden de Trabajo (por Vehículo)</t>
  </si>
  <si>
    <t>La tabla se filtra y solo muestra las OTs del vehículo "PZ1020".</t>
  </si>
  <si>
    <t>1. Admin logueado.
2. Estar en /administracion/orden-trabajo/.
3. Existen OTs de "PZ1020" y "OTRO-VEH".</t>
  </si>
  <si>
    <t>se logoro encvontrar la ot mediante la patente de forma correcta</t>
  </si>
  <si>
    <t>search"PZ1020"</t>
  </si>
  <si>
    <t>La funcionalidad de búsqueda filtra correctamente la tabla.</t>
  </si>
  <si>
    <t>ADMIN-OT-006</t>
  </si>
  <si>
    <t>Seguridad - Acceso de Mecánico (Denegado)</t>
  </si>
  <si>
    <t>El Mecánico es redirigido (ej. al iniciar sesión en su tablero) y no puede ver la página.</t>
  </si>
  <si>
    <t>1. Mecánico logueado.</t>
  </si>
  <si>
    <t>la pagina no permite el ingreso a funciones de administrador como la creacion de ussuarios</t>
  </si>
  <si>
    <t>El rol Mecánico no debe tener acceso a la gestión de OTs del Admin.</t>
  </si>
  <si>
    <t>ADMIN-INV-001</t>
  </si>
  <si>
    <t>(Leer) Visualizar página de Inventario</t>
  </si>
  <si>
    <t>La página cargada. El título "Inventario" y la tabla son visibles.</t>
  </si>
  <si>
    <t>se logro visualizar de forma correcta el inventario</t>
  </si>
  <si>
    <t>El módulo principal (Read) carga sin errores críticos.</t>
  </si>
  <si>
    <t>ADMIN-INV-002</t>
  </si>
  <si>
    <t>agregar repuesto - Éxito</t>
  </si>
  <si>
    <t>Se crea el repuesto. Aparece "brindis" de éxito. El repuesto aparece en la tabla.</t>
  </si>
  <si>
    <t>1. Admin logueado.
2. Estar en /.../inventario/.</t>
  </si>
  <si>
    <t xml:space="preserve">la aplicacion maneja bien el creado de repuestos para el inventario, se debe escoger un repuesto diferente al de la lista porque si se escoge uno similar a la lista y con el mismo proveedor, agrega al stock ya existente de la lista de repuestos
</t>
  </si>
  <si>
    <t>SKU: "SKU-SEL-INV-01"</t>
  </si>
  <si>
    <t>El Admin puede crear un repuesto y recibir comentarios.</t>
  </si>
  <si>
    <t>ADMIN-INV-003</t>
  </si>
  <si>
    <t>(Actualización) Editar Repuesto - Éxito (Cambiar Stock)</t>
  </si>
  <si>
    <t>El modal se cierra. "Toast" de éxito es visible. El stockse actualiza en la tabla.</t>
  </si>
  <si>
    <t>1. Admin logueado.
2. Existe "SKU-SEL-INV-01".</t>
  </si>
  <si>
    <t>Se actualzia de forma correcta el stock luego de editar la cantidad de unidades y se visualiza al instante en la lista de repuestos</t>
  </si>
  <si>
    <t>Existencias: "25"</t>
  </si>
  <si>
    <t>El usuario puede editar el stock y el cambio persiste en la UI.</t>
  </si>
  <si>
    <t>ADMIN-INV-004</t>
  </si>
  <si>
    <t>(Borrar) Borrar Repuesto - Éxito</t>
  </si>
  <si>
    <t>Aparece la alerta de confirmación. Al confirmar, el repuesto desaparece de la tabla.</t>
  </si>
  <si>
    <t>El repuesto es eliminado de forma correcta</t>
  </si>
  <si>
    <t>"SKU-SEL-INV-01"</t>
  </si>
  <si>
    <t>El flujo de usuario (Borrar Repuesto) cumple con el requisito.</t>
  </si>
  <si>
    <t>ADMIN-INV-005</t>
  </si>
  <si>
    <t>(Leer) Buscar Repuesto por SKU</t>
  </si>
  <si>
    <t>La tabla se filtra y solo muestra el repuesto "123123".</t>
  </si>
  <si>
    <t>1. Admin logueado.
2. Existen "123123" y "SKU-OTRO-02".</t>
  </si>
  <si>
    <t>Se encuentra de forma correcta por sku 123123</t>
  </si>
  <si>
    <t>search: "1231231"</t>
  </si>
  <si>
    <t>ADMIN-INV-006</t>
  </si>
  <si>
    <t>(Actualización) Editar Repuesto - Validación (Stock negativo)</t>
  </si>
  <si>
    <t>El modal no se cierra. Aparece el error "El stock no puede ser negativo".</t>
  </si>
  <si>
    <t>el sistema notifica que existe un stock negativo y no permite guardar el stock negativo</t>
  </si>
  <si>
    <t>Aporte:stock: -5
Salida: Mensaje de error</t>
  </si>
  <si>
    <t>El sistema valida que el stock no sea negativo al actualizar.</t>
  </si>
  <si>
    <t>ADMIN-INV-007</t>
  </si>
  <si>
    <t>(Actualización) Editar Repuesto - Validación (SKU duplicado)</t>
  </si>
  <si>
    <t>El modal no se cierra. Aparece "tostado" de error "SKU ya existe".</t>
  </si>
  <si>
    <t>1. Admin logueado.
2. Existen "SKU-001" y "SKU-002".</t>
  </si>
  <si>
    <t>el sistema no permite la duplicidad de sku y de repuesto, al ingresar un repuesto con el mism o nombre y con el mismo proyveedor lo que hace es agregar el stock que se esta creando al ya existente</t>
  </si>
  <si>
    <t>sku: "SKU-001" (duplicado)</t>
  </si>
  <si>
    <t>La validación de duplicados (función core ) sigue funcionando.</t>
  </si>
  <si>
    <t>ADMIN-INV-008</t>
  </si>
  <si>
    <t>(Leer) Seguridad - Acceso de Mecánico</t>
  </si>
  <si>
    <t>El Mecánico es redirigido (ej. al iniciar sesión) y no puede ver la página.</t>
  </si>
  <si>
    <t>en un comienzo la pagina debia redireccionar al mecanico al login, pero conforme a los cambios del proyecto se decidio que si debe tener acceso a la pagina de admnistracion mas noa las secciones claves como la creacion de usuarios</t>
  </si>
  <si>
    <t>El rol Mecánico no debe tener acceso a este módulo.</t>
  </si>
  <si>
    <t>ADMIN-EMPLO-001</t>
  </si>
  <si>
    <t>(Leer) Visualizar página de Gestión de Usuarios</t>
  </si>
  <si>
    <t>La página cargada. El título "Gestión de Usuarios" y la tabla son visibles.</t>
  </si>
  <si>
    <t>El sistema permite la visualizacion del listado de empleados de forma correcta</t>
  </si>
  <si>
    <t>Administración taller (Empleados)</t>
  </si>
  <si>
    <t>ADMIN-USR-002</t>
  </si>
  <si>
    <t>(Crear) Navegación a "Nuevo Usuario"</t>
  </si>
  <si>
    <t>Se redirige a la página o formulario para crear un nuevo usuario.</t>
  </si>
  <si>
    <t>1. Admin logueado.
2. Estar en /.../usuarios/.</t>
  </si>
  <si>
    <t>si permite la redireccion a la crecion de un nuevo usuario</t>
  </si>
  <si>
    <t>El Admin puede navegar al formulario de creación.</t>
  </si>
  <si>
    <t>ADMIN-USR-003</t>
  </si>
  <si>
    <t>(Actualización) Navegación a "Editar Usuario"</t>
  </si>
  <si>
    <t>Se redirige al formulario para editar el usuario (ej. .../edit/1/).</t>
  </si>
  <si>
    <t>1. Admin logueado.
2. Estar en /.../usuarios/.
3. Existe el usuario "user.test".</t>
  </si>
  <si>
    <t>El sistema permite la edicion y guarda la edicion de forma correcta</t>
  </si>
  <si>
    <t>"mecanico prueuba"</t>
  </si>
  <si>
    <t>El botón "Editar" debe navegar al formulario de edición.</t>
  </si>
  <si>
    <t>ADMIN-USR-004</t>
  </si>
  <si>
    <t>la pagina ahora permite cierta visualizacion de la administracion, pero no permite acceso a modulos claves tales como la creacion de ussarios del taller</t>
  </si>
  <si>
    <t>ADMIN-USR-005</t>
  </si>
  <si>
    <t xml:space="preserve"> correo electronico duplicado</t>
  </si>
  <si>
    <t>El formulario no se guarda. Aparece el error "Un usuario con este correo electrónico ya existe".</t>
  </si>
  <si>
    <t>1. Admin logueado.
2. Estar en el formulario "Nuevo Usuario".
3. Ya existe "admin@admin.cl".</t>
  </si>
  <si>
    <t>La apgina no permite la creacion de ussuarios con correo duplicaod</t>
  </si>
  <si>
    <t>Aporte:email: "admin@admin.cl"
Salida: Mensaje de error</t>
  </si>
  <si>
    <t>El sistema debe validar correos electrónicos duplicados en el backend.</t>
  </si>
  <si>
    <t>ADMIN-USR-006</t>
  </si>
  <si>
    <t>(Actualización) Editar Usuario - Cambiar Rol</t>
  </si>
  <si>
    <t>"Toast" de éxito es visible. El rol del usuario cambia en la tabla (ej. de "Mecánico" a "Admin").</t>
  </si>
  <si>
    <t>1. Admin logueado.
2. Estar en formulario "Editar Usuario".</t>
  </si>
  <si>
    <t>el sistema permite el cambio de rol de forma correcta</t>
  </si>
  <si>
    <t>Rol: "Administrador"</t>
  </si>
  <si>
    <t>La funcionalidad central (Editar rol) sigue funcionando.</t>
  </si>
  <si>
    <t>ADMIN-PROV-001</t>
  </si>
  <si>
    <t>(Leer) Visualizar página de Proveedores</t>
  </si>
  <si>
    <t>La página cargada. El título "Proveedores" y la tabla son visibles.</t>
  </si>
  <si>
    <t xml:space="preserve">al estar logeado como administrador puedo visualizar el panel de proveedores, el listado </t>
  </si>
  <si>
    <t>Administración (Proveedores)</t>
  </si>
  <si>
    <t>ADMIN-PROV-002</t>
  </si>
  <si>
    <t>(Crear) Crear Proveedor - Éxito</t>
  </si>
  <si>
    <t>El modal se cierra. Aparece "brindis" de éxito. El nuevo proveedor aparece en la tabla.</t>
  </si>
  <si>
    <t>1. Admin logueado.
2. Estar en /.../proveedores/.</t>
  </si>
  <si>
    <t>el sistema permite la creacion de un proveedor de fornma correcta</t>
  </si>
  <si>
    <t>name: "Proveedor Selenio 1", email: "prov1@test.cl"</t>
  </si>
  <si>
    <t>El Admin puede crear un proveedor y recibir comentarios.</t>
  </si>
  <si>
    <t>ADMIN-PROV-003</t>
  </si>
  <si>
    <t>(Crear) Crear Proveedor - Validación (Nombre vacío)</t>
  </si>
  <si>
    <t>El modal no se cierra. Aparece el error "Este campo es requerido" bajo el campo name.</t>
  </si>
  <si>
    <t>El sistema no permite la creación del proveedor ya que el nombre está vacío</t>
  </si>
  <si>
    <t>Aporte:name: "" 
Salida: Mensaje de error</t>
  </si>
  <si>
    <t>El sistema valida campos obligatorios en el frontend.</t>
  </si>
  <si>
    <t>ADMIN-PROV-004</t>
  </si>
  <si>
    <t>(Crear) Crear Proveedor - Validación (Email inválido)</t>
  </si>
  <si>
    <t>El modal no se cierra. Aparece el error "Email inválido" bajo el campo email.</t>
  </si>
  <si>
    <t>email"texto inválido"</t>
  </si>
  <si>
    <t>El formulario valida el formato correcto del correo electrónico.</t>
  </si>
  <si>
    <t>ADMIN-PROV-005</t>
  </si>
  <si>
    <t>(Actualización) Editar Proveedor - Éxito</t>
  </si>
  <si>
    <t>El modal se cierra. "Toast" de éxito es visible. El teléfonose actualiza en la tabla.</t>
  </si>
  <si>
    <t>1. Admin logueado.
2. Existe "Proveedor Repuestos Maipú".</t>
  </si>
  <si>
    <t>phone: "+56988887777"</t>
  </si>
  <si>
    <t>El usuario puede editar un proveedor y el cambio persiste.</t>
  </si>
  <si>
    <t>ADMIN-PROV-006</t>
  </si>
  <si>
    <t>(Borrar) Borrar Proveedor - Éxito</t>
  </si>
  <si>
    <t>Aparece la alerta de confirmación. Al confirmar, el proveedor desaparece de la tabla.</t>
  </si>
  <si>
    <t>1. Admin logueado.
2. Existe "Repuestos Maipú".</t>
  </si>
  <si>
    <t>El proveedor al presionar aceptar en la alerta, se elimina correctamente</t>
  </si>
  <si>
    <t>"Proveedor Selenium 1"</t>
  </si>
  <si>
    <t>El flujo de usuario (Borrar) cumple con el requisito de negocio.</t>
  </si>
  <si>
    <t>ADMIN-PROV-007</t>
  </si>
  <si>
    <t>(Eliminar) Borrar Proveedor - Cancelar</t>
  </si>
  <si>
    <t>La alerta se cierra. El proveedor "Proveedor Repuestos Maipú" sigue visible en la tabla.</t>
  </si>
  <si>
    <t>El botón "Cancelar" de la alerta funciona como espera el usuario.</t>
  </si>
  <si>
    <t>ADMIN-PROV-008</t>
  </si>
  <si>
    <t>(Crear) Crear Proveedor - Duplicado</t>
  </si>
  <si>
    <t>El modal no se cierra. Aparece "tostado" de error "Proveedor ya existe".</t>
  </si>
  <si>
    <t>1. Admin logueado.
2. Ya existe "Proveedor BKJ Partes".</t>
  </si>
  <si>
    <t>El sistema arroja error y no deja registrar proveedor duplicado</t>
  </si>
  <si>
    <t>name: "Proveedor BKJ Partes"</t>
  </si>
  <si>
    <t>La validación central (duplicados) sigue funcionando.</t>
  </si>
  <si>
    <t>ADMIN-PROV-009</t>
  </si>
  <si>
    <t>Seguridad</t>
  </si>
  <si>
    <t>ADMIIN-SOL-001</t>
  </si>
  <si>
    <t>Crear Solicitud válida “Alta de Repuesto Maestro”</t>
  </si>
  <si>
    <t>La solicitud se crea correctamente y aparece en estado “Pendiente”.</t>
  </si>
  <si>
    <t>Usuario autenticado como Admin Taller.</t>
  </si>
  <si>
    <t>Solicitud enviada en "pendiente" con exito</t>
  </si>
  <si>
    <t>Nombre Repuesto: “Bomba de gasolina Kia Morning 2014”; Marca: “Bosch”; SKU: “BOS-12345”; Descripción adicional.</t>
  </si>
  <si>
    <t>Solicitudes (Admin Taller)</t>
  </si>
  <si>
    <t>El sistema debe permitir crear una solicitud válida y registrarla en estado Pendiente.</t>
  </si>
  <si>
    <t>ADMIN-SOL-002</t>
  </si>
  <si>
    <t>Validación de campos obligatorios en creación</t>
  </si>
  <si>
    <t>El sistema muestra mensaje indicando campos obligatorios faltantes.</t>
  </si>
  <si>
    <t>El sistema muestra mensaje indicando que se debe rellenar el campo</t>
  </si>
  <si>
    <t>Nombre Repuesto vacío; otros campos válidos.</t>
  </si>
  <si>
    <t>El sistema debe validar campos requeridos antes de permitir el envío.</t>
  </si>
  <si>
    <t>ADMIN-SOL-003</t>
  </si>
  <si>
    <t>Cancelar creación de Solicitud</t>
  </si>
  <si>
    <t>El formulario se cierra y no se registra ninguna solicitud.</t>
  </si>
  <si>
    <t>El formulario al cerrarse no deja registro de ningun dato ni de la solicitud</t>
  </si>
  <si>
    <t>Campos completos con datos válidos.</t>
  </si>
  <si>
    <t>El sistema no debe crear registros al cancelar la operación.</t>
  </si>
  <si>
    <t>ADMIN-SOL-004</t>
  </si>
  <si>
    <t>Visualizar detalle de Solicitud desde listado</t>
  </si>
  <si>
    <t>Se abre el modal mostrando ID y datos de la solicitud.</t>
  </si>
  <si>
    <t>Existencia de al menos una solicitud creada.</t>
  </si>
  <si>
    <t>ID de solicitud existente.</t>
  </si>
  <si>
    <t>El sistema debe mostrar los detalles completos de la solicitud seleccionada.</t>
  </si>
  <si>
    <t>ADMIN-SOL-005</t>
  </si>
  <si>
    <t>Filtrar Solicitudes por Tipo y Estado</t>
  </si>
  <si>
    <t>Se muestran solo las solicitudes que cumplen ambos filtros.</t>
  </si>
  <si>
    <t>Existencia de solicitudes de tipo y estado variados.</t>
  </si>
  <si>
    <t>El sistema filtra y muestra solo solicitudes aprobadas</t>
  </si>
  <si>
    <t>Tipo: “Alta de Repuesto Maestro”; Estado: “Aprobada”.</t>
  </si>
  <si>
    <t>El sistema debe aplicar correctamente filtros combinados.</t>
  </si>
  <si>
    <t>ADMIN-SOL-006</t>
  </si>
  <si>
    <t>Verificación de diseño en pantallas pequeñas</t>
  </si>
  <si>
    <t>La vista se adapta correctamente: no se cortan tablas ni botones y no hay textos superpuestos.</t>
  </si>
  <si>
    <t>Tener acceso al módulo Solicitudes a SIGVE.</t>
  </si>
  <si>
    <t>La vista se adapta correctamente</t>
  </si>
  <si>
    <t>Dispositivos simulados: iPhone 12, Galaxy S20, iPad (en F12).</t>
  </si>
  <si>
    <t>La interfaz debe mantenerse legible y sin deformaciones en distintos tamaños de pantalla.</t>
  </si>
  <si>
    <t>ADMIN-SOL-007</t>
  </si>
  <si>
    <t>Prueba de carga básica (abrir varios modales seguidos)</t>
  </si>
  <si>
    <t>El sistema abre y cierra múltiples modales sin congelarse ni mostrar errores.</t>
  </si>
  <si>
    <t>Existencia de múltiples solicitudes en la tabla.</t>
  </si>
  <si>
    <t>Abrir/cerrar 10 modales de solicitudes.</t>
  </si>
  <si>
    <t>El sistema debe mantener fluidez y estabilidad al navegar repetidamente.</t>
  </si>
  <si>
    <t>ADMIN-SOL-008</t>
  </si>
  <si>
    <t>Prueba de estabilidad visual en filtros</t>
  </si>
  <si>
    <t>Los filtros cambian la tabla sin parpadeos, saltos o deformaciones visuales.</t>
  </si>
  <si>
    <t>Cambiar filtros entre Pendiente/Aprobada/Rechazada y Tipo Solicitud.</t>
  </si>
  <si>
    <t>La transición visual debe ser estable, sin flickers ni errores.</t>
  </si>
  <si>
    <t>SIGV-SOL-001</t>
  </si>
  <si>
    <t>Aprobar solicitud pendiente</t>
  </si>
  <si>
    <t>La solicitud seleccionada desaparece de la pestaña “Pendientes” y aparece en la pestaña “Aprobadas” con sus datos correctos.</t>
  </si>
  <si>
    <t>Usuario autenticado con rol Admin SIGVE y al menos una solicitud en estado Pendiente.</t>
  </si>
  <si>
    <t>La solicitud seleccionada desaparece de la pestaña “Pendientes” y aparece en la pestaña “Aprobadas” con sus datos correctos</t>
  </si>
  <si>
    <t>Ejemplo: ID #3, Nombre: “Bomba de Gasolina Kia Morning 2014”, SKU: “BOS-12345”.</t>
  </si>
  <si>
    <t>Centro de Solicitudes (Admin SIGVE)</t>
  </si>
  <si>
    <t>El sistema debe permitir aprobar solicitudes pendientes y reflejar el nuevo estado en la pestaña correspondiente.</t>
  </si>
  <si>
    <t>SIGV-SOL-002</t>
  </si>
  <si>
    <t>Rechazar solicitud pendiente</t>
  </si>
  <si>
    <t>La solicitud seleccionada desaparece de “Pendientes” y aparece en la pestaña “Rechazadas” con sus datos correctos.</t>
  </si>
  <si>
    <t>Usuario autenticado como Admin SIGVE y al menos una solicitud en Pendientes.</t>
  </si>
  <si>
    <t>ID de una solicitud pendiente.</t>
  </si>
  <si>
    <t>El sistema debe permitir rechazar solicitudes pendientes y actualizar su estado a Rechazada.</t>
  </si>
  <si>
    <t>SIGV-SOL-003</t>
  </si>
  <si>
    <t>Visualizar solicitudes aprobadas</t>
  </si>
  <si>
    <t>La pestaña “Aprobadas” muestra el listado de solicitudes aprobadas con sus datos y la columna “Notas Admin”.</t>
  </si>
  <si>
    <t>Existencia de al menos una solicitud aprobada.</t>
  </si>
  <si>
    <t>Ejemplo: Nombre: “Pastilla de Freno”, SKU: “123123”, Marca: “Baush”.</t>
  </si>
  <si>
    <t>El sistema debe listar correctamente las solicitudes aprobadas y su información asociada.</t>
  </si>
  <si>
    <t>SIGV-SOL-004</t>
  </si>
  <si>
    <t>Visualizar pestaña Rechazadas sin registros</t>
  </si>
  <si>
    <t>Al no existir solicitudes rechazadas, se muestra la pestaña vacía con el mensaje “No hay solicitudes rechazadas” (o equivalente).</t>
  </si>
  <si>
    <t>No existen solicitudes en estado Rechazada.</t>
  </si>
  <si>
    <t>N/A</t>
  </si>
  <si>
    <t>El sistema debe informar de forma clara cuando no existan registros rechazados.</t>
  </si>
  <si>
    <t>SIGV-SOL-005</t>
  </si>
  <si>
    <t>Tiempo de respuesta al aprobar/rechazar solicitud</t>
  </si>
  <si>
    <t>La acción de aprobar o rechazar una solicitud se completa en menos de 3 segundos y la tabla se actualiza sin errores.</t>
  </si>
  <si>
    <t>Usuario autenticado Admin SIGVE con solicitudes pendientes.</t>
  </si>
  <si>
    <t>Aprobación/Rechazo de 3 solicitudes consecutivas.</t>
  </si>
  <si>
    <t>El sistema debe responder en un tiempo aceptable al cambiar el estado de las solicitudes.</t>
  </si>
  <si>
    <t>TOTAL CASOS</t>
  </si>
  <si>
    <t>TIPO DE APLICACION</t>
  </si>
  <si>
    <t>CANTIDAD DE PRUEBAS</t>
  </si>
  <si>
    <t>Manuales</t>
  </si>
  <si>
    <t>JMeter</t>
  </si>
  <si>
    <t>No Funcional</t>
  </si>
  <si>
    <t>Completar</t>
  </si>
  <si>
    <t>Baja</t>
  </si>
  <si>
    <t>Media</t>
  </si>
  <si>
    <t>UAT</t>
  </si>
  <si>
    <t>Alta</t>
  </si>
  <si>
    <t>Código</t>
  </si>
  <si>
    <t>End to End</t>
  </si>
  <si>
    <t>Stress</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</si>
</sst>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d/m/yyyy"/>
  </numFmts>
  <fonts count="17">
    <font>
      <sz val="11.0"/>
      <color theme="1"/>
      <name val="Calibri"/>
      <scheme val="minor"/>
    </font>
    <font>
      <sz val="11.0"/>
      <color theme="1"/>
      <name val="Calibri"/>
    </font>
    <font>
      <sz val="24.0"/>
      <color theme="1"/>
      <name val="Calibri"/>
    </font>
    <font/>
    <font>
      <sz val="11.0"/>
      <color rgb="FF000000"/>
      <name val="Inconsolata"/>
    </font>
    <font>
      <sz val="9.0"/>
      <color rgb="FF000000"/>
      <name val="Calibri"/>
    </font>
    <font>
      <sz val="20.0"/>
      <color theme="1"/>
      <name val="Calibri"/>
    </font>
    <font>
      <u/>
      <sz val="11.0"/>
      <color theme="1"/>
      <name val="Calibri"/>
    </font>
    <font>
      <color theme="1"/>
      <name val="Calibri"/>
      <scheme val="minor"/>
    </font>
    <font>
      <b/>
      <color rgb="FF1B1C1D"/>
      <name val="&quot;Google Sans Text&quot;"/>
    </font>
    <font>
      <color rgb="FF1B1C1D"/>
      <name val="&quot;Google Sans Text&quot;"/>
    </font>
    <font>
      <b/>
      <color theme="1"/>
      <name val="&quot;Google Sans Text&quot;"/>
    </font>
    <font>
      <color theme="1"/>
      <name val="&quot;Google Sans Text&quot;"/>
    </font>
    <font>
      <color rgb="FF444746"/>
      <name val="&quot;Google Sans Text&quot;"/>
    </font>
    <font>
      <sz val="11.0"/>
      <color rgb="FF000000"/>
      <name val="Calibri"/>
    </font>
    <font>
      <sz val="11.0"/>
      <color theme="1"/>
      <name val="Google Sans Text"/>
    </font>
    <font>
      <b/>
      <color theme="1"/>
      <name val="Calibri"/>
      <scheme val="minor"/>
    </font>
  </fonts>
  <fills count="10">
    <fill>
      <patternFill patternType="none"/>
    </fill>
    <fill>
      <patternFill patternType="lightGray"/>
    </fill>
    <fill>
      <patternFill patternType="solid">
        <fgColor theme="0"/>
        <bgColor theme="0"/>
      </patternFill>
    </fill>
    <fill>
      <patternFill patternType="solid">
        <fgColor rgb="FFFFFFFF"/>
        <bgColor rgb="FFFFFFFF"/>
      </patternFill>
    </fill>
    <fill>
      <patternFill patternType="solid">
        <fgColor rgb="FFB6D7A8"/>
        <bgColor rgb="FFB6D7A8"/>
      </patternFill>
    </fill>
    <fill>
      <patternFill patternType="solid">
        <fgColor rgb="FFD9EAD3"/>
        <bgColor rgb="FFD9EAD3"/>
      </patternFill>
    </fill>
    <fill>
      <patternFill patternType="solid">
        <fgColor rgb="FFFFF2CC"/>
        <bgColor rgb="FFFFF2CC"/>
      </patternFill>
    </fill>
    <fill>
      <patternFill patternType="solid">
        <fgColor rgb="FF93C47D"/>
        <bgColor rgb="FF93C47D"/>
      </patternFill>
    </fill>
    <fill>
      <patternFill patternType="solid">
        <fgColor rgb="FFC9DAF8"/>
        <bgColor rgb="FFC9DAF8"/>
      </patternFill>
    </fill>
    <fill>
      <patternFill patternType="solid">
        <fgColor rgb="FFA4C2F4"/>
        <bgColor rgb="FFA4C2F4"/>
      </patternFill>
    </fill>
  </fills>
  <borders count="35">
    <border/>
    <border>
      <left/>
      <right/>
      <top/>
      <bottom/>
    </border>
    <border>
      <left style="medium">
        <color rgb="FF000000"/>
      </left>
      <right/>
      <top style="medium">
        <color rgb="FF000000"/>
      </top>
      <bottom/>
    </border>
    <border>
      <left/>
      <right/>
      <top style="medium">
        <color rgb="FF000000"/>
      </top>
      <bottom/>
    </border>
    <border>
      <left/>
      <right style="medium">
        <color rgb="FF000000"/>
      </right>
      <top style="medium">
        <color rgb="FF000000"/>
      </top>
      <bottom/>
    </border>
    <border>
      <left style="medium">
        <color rgb="FF000000"/>
      </left>
      <right/>
      <top/>
      <bottom/>
    </border>
    <border>
      <left/>
      <right style="medium">
        <color rgb="FF000000"/>
      </right>
      <top/>
      <bottom/>
    </border>
    <border>
      <left/>
      <top/>
    </border>
    <border>
      <top/>
    </border>
    <border>
      <right/>
      <top/>
    </border>
    <border>
      <left/>
    </border>
    <border>
      <right/>
    </border>
    <border>
      <left/>
      <bottom/>
    </border>
    <border>
      <bottom/>
    </border>
    <border>
      <right/>
      <bottom/>
    </border>
    <border>
      <left style="medium">
        <color rgb="FF000000"/>
      </left>
      <right/>
      <top/>
      <bottom style="medium">
        <color rgb="FF000000"/>
      </bottom>
    </border>
    <border>
      <left/>
      <right/>
      <top/>
      <bottom style="medium">
        <color rgb="FF000000"/>
      </bottom>
    </border>
    <border>
      <left/>
      <right style="medium">
        <color rgb="FF000000"/>
      </right>
      <top/>
      <bottom style="medium">
        <color rgb="FF000000"/>
      </bottom>
    </border>
    <border>
      <left style="thin">
        <color rgb="FF000000"/>
      </left>
      <right style="thin">
        <color rgb="FF000000"/>
      </right>
      <top style="thin">
        <color rgb="FF000000"/>
      </top>
    </border>
    <border>
      <left style="thin">
        <color rgb="FF000000"/>
      </left>
      <right/>
      <top style="thin">
        <color rgb="FF000000"/>
      </top>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000000"/>
      </right>
    </border>
    <border>
      <left style="thin">
        <color rgb="FF000000"/>
      </left>
      <right style="thin">
        <color rgb="FF000000"/>
      </right>
      <bottom style="thin">
        <color rgb="FF000000"/>
      </bottom>
    </border>
    <border>
      <left/>
      <top/>
      <bottom/>
    </border>
    <border>
      <right/>
      <top/>
      <bottom/>
    </border>
    <border>
      <left style="thin">
        <color rgb="FF000000"/>
      </left>
      <top style="thin">
        <color rgb="FF000000"/>
      </top>
      <bottom style="thin">
        <color rgb="FF000000"/>
      </bottom>
    </border>
    <border>
      <right style="thin">
        <color rgb="FF000000"/>
      </right>
      <top style="thin">
        <color rgb="FF000000"/>
      </top>
      <bottom style="thin">
        <color rgb="FF000000"/>
      </bottom>
    </border>
    <border>
      <left style="thin">
        <color rgb="FF000000"/>
      </left>
      <top style="thin">
        <color rgb="FF000000"/>
      </top>
    </border>
    <border>
      <right style="thin">
        <color rgb="FF000000"/>
      </right>
      <top style="thin">
        <color rgb="FF000000"/>
      </top>
    </border>
    <border>
      <left style="thin">
        <color rgb="FF000000"/>
      </left>
      <bottom style="thin">
        <color rgb="FF000000"/>
      </bottom>
    </border>
    <border>
      <right style="thin">
        <color rgb="FF000000"/>
      </right>
      <bottom style="thin">
        <color rgb="FF000000"/>
      </bottom>
    </border>
    <border>
      <right/>
      <top style="thin">
        <color rgb="FF000000"/>
      </top>
    </border>
    <border>
      <left style="thin">
        <color rgb="FF000000"/>
      </left>
    </border>
    <border>
      <right/>
      <bottom style="thin">
        <color rgb="FF000000"/>
      </bottom>
    </border>
    <border>
      <right style="thin">
        <color rgb="FF000000"/>
      </right>
      <top/>
      <bottom/>
    </border>
  </borders>
  <cellStyleXfs count="1">
    <xf borderId="0" fillId="0" fontId="0" numFmtId="0" applyAlignment="1" applyFont="1"/>
  </cellStyleXfs>
  <cellXfs count="122">
    <xf borderId="0" fillId="0" fontId="0" numFmtId="0" xfId="0" applyAlignment="1" applyFont="1">
      <alignment readingOrder="0" shrinkToFit="0" vertical="bottom" wrapText="0"/>
    </xf>
    <xf borderId="1" fillId="2" fontId="1" numFmtId="0" xfId="0" applyBorder="1" applyFill="1" applyFont="1"/>
    <xf borderId="2" fillId="2" fontId="1" numFmtId="0" xfId="0" applyBorder="1" applyFont="1"/>
    <xf borderId="3" fillId="2" fontId="1" numFmtId="0" xfId="0" applyBorder="1" applyFont="1"/>
    <xf borderId="4" fillId="2" fontId="1" numFmtId="0" xfId="0" applyBorder="1" applyFont="1"/>
    <xf borderId="5" fillId="2" fontId="1" numFmtId="0" xfId="0" applyBorder="1" applyFont="1"/>
    <xf borderId="6" fillId="2" fontId="1" numFmtId="0" xfId="0" applyBorder="1" applyFont="1"/>
    <xf borderId="7" fillId="2" fontId="2" numFmtId="0" xfId="0" applyAlignment="1" applyBorder="1" applyFont="1">
      <alignment horizontal="center" readingOrder="0" shrinkToFit="0" vertical="center" wrapText="1"/>
    </xf>
    <xf borderId="8" fillId="0" fontId="3" numFmtId="0" xfId="0" applyBorder="1" applyFont="1"/>
    <xf borderId="9" fillId="0" fontId="3" numFmtId="0" xfId="0" applyBorder="1" applyFont="1"/>
    <xf borderId="10" fillId="0" fontId="3" numFmtId="0" xfId="0" applyBorder="1" applyFont="1"/>
    <xf borderId="11" fillId="0" fontId="3" numFmtId="0" xfId="0" applyBorder="1" applyFont="1"/>
    <xf borderId="12" fillId="0" fontId="3" numFmtId="0" xfId="0" applyBorder="1" applyFont="1"/>
    <xf borderId="13" fillId="0" fontId="3" numFmtId="0" xfId="0" applyBorder="1" applyFont="1"/>
    <xf borderId="14" fillId="0" fontId="3" numFmtId="0" xfId="0" applyBorder="1" applyFont="1"/>
    <xf borderId="7" fillId="2" fontId="1" numFmtId="0" xfId="0" applyAlignment="1" applyBorder="1" applyFont="1">
      <alignment horizontal="left" shrinkToFit="0" vertical="top" wrapText="1"/>
    </xf>
    <xf borderId="15" fillId="2" fontId="1" numFmtId="0" xfId="0" applyBorder="1" applyFont="1"/>
    <xf borderId="16" fillId="2" fontId="1" numFmtId="0" xfId="0" applyBorder="1" applyFont="1"/>
    <xf borderId="17" fillId="2" fontId="1" numFmtId="0" xfId="0" applyBorder="1" applyFont="1"/>
    <xf borderId="1" fillId="2" fontId="1" numFmtId="0" xfId="0" applyAlignment="1" applyBorder="1" applyFont="1">
      <alignment horizontal="center"/>
    </xf>
    <xf borderId="1" fillId="2" fontId="4" numFmtId="0" xfId="0" applyBorder="1" applyFont="1"/>
    <xf borderId="18" fillId="2" fontId="1" numFmtId="0" xfId="0" applyAlignment="1" applyBorder="1" applyFont="1">
      <alignment horizontal="center" vertical="center"/>
    </xf>
    <xf borderId="19" fillId="2" fontId="1" numFmtId="0" xfId="0" applyAlignment="1" applyBorder="1" applyFont="1">
      <alignment vertical="center"/>
    </xf>
    <xf borderId="20" fillId="2" fontId="1" numFmtId="0" xfId="0" applyAlignment="1" applyBorder="1" applyFont="1">
      <alignment horizontal="center" vertical="center"/>
    </xf>
    <xf borderId="1" fillId="2" fontId="1" numFmtId="0" xfId="0" applyAlignment="1" applyBorder="1" applyFont="1">
      <alignment horizontal="center" vertical="center"/>
    </xf>
    <xf borderId="21" fillId="0" fontId="3" numFmtId="0" xfId="0" applyBorder="1" applyFont="1"/>
    <xf borderId="22" fillId="0" fontId="3" numFmtId="0" xfId="0" applyBorder="1" applyFont="1"/>
    <xf borderId="1" fillId="2" fontId="1" numFmtId="0" xfId="0" applyAlignment="1" applyBorder="1" applyFont="1">
      <alignment vertical="center"/>
    </xf>
    <xf borderId="23" fillId="2" fontId="1" numFmtId="0" xfId="0" applyAlignment="1" applyBorder="1" applyFont="1">
      <alignment vertical="center"/>
    </xf>
    <xf borderId="24" fillId="0" fontId="3" numFmtId="0" xfId="0" applyBorder="1" applyFont="1"/>
    <xf borderId="1" fillId="2" fontId="5" numFmtId="0" xfId="0" applyAlignment="1" applyBorder="1" applyFont="1">
      <alignment horizontal="center"/>
    </xf>
    <xf borderId="25" fillId="2" fontId="1" numFmtId="0" xfId="0" applyAlignment="1" applyBorder="1" applyFont="1">
      <alignment vertical="center"/>
    </xf>
    <xf borderId="26" fillId="0" fontId="3" numFmtId="0" xfId="0" applyBorder="1" applyFont="1"/>
    <xf borderId="20" fillId="2" fontId="5" numFmtId="0" xfId="0" applyAlignment="1" applyBorder="1" applyFont="1">
      <alignment horizontal="center"/>
    </xf>
    <xf borderId="27" fillId="2" fontId="6" numFmtId="164" xfId="0" applyAlignment="1" applyBorder="1" applyFont="1" applyNumberFormat="1">
      <alignment horizontal="center" vertical="center"/>
    </xf>
    <xf borderId="28" fillId="0" fontId="3" numFmtId="0" xfId="0" applyBorder="1" applyFont="1"/>
    <xf borderId="18" fillId="2" fontId="6" numFmtId="9" xfId="0" applyAlignment="1" applyBorder="1" applyFont="1" applyNumberFormat="1">
      <alignment horizontal="center" vertical="center"/>
    </xf>
    <xf borderId="29" fillId="0" fontId="3" numFmtId="0" xfId="0" applyBorder="1" applyFont="1"/>
    <xf borderId="30" fillId="0" fontId="3" numFmtId="0" xfId="0" applyBorder="1" applyFont="1"/>
    <xf borderId="27" fillId="2" fontId="1" numFmtId="0" xfId="0" applyAlignment="1" applyBorder="1" applyFont="1">
      <alignment horizontal="center" shrinkToFit="0" vertical="center" wrapText="1"/>
    </xf>
    <xf borderId="31" fillId="0" fontId="3" numFmtId="0" xfId="0" applyBorder="1" applyFont="1"/>
    <xf borderId="25" fillId="2" fontId="1" numFmtId="0" xfId="0" applyBorder="1" applyFont="1"/>
    <xf borderId="32" fillId="0" fontId="3" numFmtId="0" xfId="0" applyBorder="1" applyFont="1"/>
    <xf borderId="33" fillId="0" fontId="3" numFmtId="0" xfId="0" applyBorder="1" applyFont="1"/>
    <xf borderId="20" fillId="2" fontId="1" numFmtId="0" xfId="0" applyBorder="1" applyFont="1"/>
    <xf borderId="23" fillId="2" fontId="1" numFmtId="0" xfId="0" applyAlignment="1" applyBorder="1" applyFont="1">
      <alignment horizontal="center"/>
    </xf>
    <xf borderId="34" fillId="0" fontId="3" numFmtId="0" xfId="0" applyBorder="1" applyFont="1"/>
    <xf borderId="20" fillId="2" fontId="1" numFmtId="0" xfId="0" applyAlignment="1" applyBorder="1" applyFont="1">
      <alignment horizontal="center"/>
    </xf>
    <xf borderId="1" fillId="2" fontId="7" numFmtId="0" xfId="0" applyBorder="1" applyFont="1"/>
    <xf borderId="20" fillId="3" fontId="1" numFmtId="0" xfId="0" applyAlignment="1" applyBorder="1" applyFill="1" applyFont="1">
      <alignment horizontal="center" shrinkToFit="0" vertical="center" wrapText="1"/>
    </xf>
    <xf borderId="20" fillId="3" fontId="1" numFmtId="0" xfId="0" applyAlignment="1" applyBorder="1" applyFont="1">
      <alignment horizontal="center" readingOrder="0" shrinkToFit="0" vertical="center" wrapText="1"/>
    </xf>
    <xf borderId="20" fillId="0" fontId="1" numFmtId="0" xfId="0" applyAlignment="1" applyBorder="1" applyFont="1">
      <alignment horizontal="center" shrinkToFit="0" vertical="center" wrapText="1"/>
    </xf>
    <xf borderId="20" fillId="0" fontId="1" numFmtId="0" xfId="0" applyAlignment="1" applyBorder="1" applyFont="1">
      <alignment horizontal="center" readingOrder="0" shrinkToFit="0" vertical="center" wrapText="1"/>
    </xf>
    <xf borderId="25" fillId="3" fontId="1" numFmtId="0" xfId="0" applyAlignment="1" applyBorder="1" applyFont="1">
      <alignment horizontal="center" shrinkToFit="0" vertical="center" wrapText="1"/>
    </xf>
    <xf borderId="0" fillId="0" fontId="1" numFmtId="0" xfId="0" applyAlignment="1" applyFont="1">
      <alignment horizontal="center" shrinkToFit="0" vertical="center" wrapText="1"/>
    </xf>
    <xf borderId="20" fillId="4" fontId="1" numFmtId="1" xfId="0" applyAlignment="1" applyBorder="1" applyFill="1" applyFont="1" applyNumberFormat="1">
      <alignment horizontal="center" shrinkToFit="0" vertical="center" wrapText="1"/>
    </xf>
    <xf borderId="20" fillId="5" fontId="1" numFmtId="1" xfId="0" applyAlignment="1" applyBorder="1" applyFill="1" applyFont="1" applyNumberFormat="1">
      <alignment horizontal="left" readingOrder="0" shrinkToFit="0" vertical="bottom" wrapText="1"/>
    </xf>
    <xf borderId="20" fillId="5" fontId="1" numFmtId="0" xfId="0" applyAlignment="1" applyBorder="1" applyFont="1">
      <alignment horizontal="left" readingOrder="0" shrinkToFit="0" vertical="bottom" wrapText="1"/>
    </xf>
    <xf borderId="20" fillId="5" fontId="1" numFmtId="0" xfId="0" applyAlignment="1" applyBorder="1" applyFont="1">
      <alignment horizontal="left" shrinkToFit="0" vertical="bottom" wrapText="1"/>
    </xf>
    <xf borderId="20" fillId="5" fontId="1" numFmtId="0" xfId="0" applyAlignment="1" applyBorder="1" applyFont="1">
      <alignment horizontal="center" readingOrder="0" shrinkToFit="0" vertical="center" wrapText="1"/>
    </xf>
    <xf borderId="24" fillId="3" fontId="1" numFmtId="0" xfId="0" applyAlignment="1" applyBorder="1" applyFont="1">
      <alignment horizontal="center" shrinkToFit="0" vertical="center" wrapText="1"/>
    </xf>
    <xf borderId="1" fillId="3" fontId="1" numFmtId="0" xfId="0" applyAlignment="1" applyBorder="1" applyFont="1">
      <alignment horizontal="center" shrinkToFit="0" vertical="center" wrapText="1"/>
    </xf>
    <xf borderId="20" fillId="5" fontId="1" numFmtId="1" xfId="0" applyAlignment="1" applyBorder="1" applyFont="1" applyNumberFormat="1">
      <alignment horizontal="left" shrinkToFit="0" vertical="bottom" wrapText="1"/>
    </xf>
    <xf borderId="20" fillId="5" fontId="8" numFmtId="0" xfId="0" applyAlignment="1" applyBorder="1" applyFont="1">
      <alignment readingOrder="0" vertical="bottom"/>
    </xf>
    <xf borderId="20" fillId="5" fontId="8" numFmtId="0" xfId="0" applyAlignment="1" applyBorder="1" applyFont="1">
      <alignment horizontal="left" readingOrder="0" vertical="bottom"/>
    </xf>
    <xf borderId="20" fillId="5" fontId="9" numFmtId="0" xfId="0" applyAlignment="1" applyBorder="1" applyFont="1">
      <alignment readingOrder="0" shrinkToFit="0" vertical="bottom" wrapText="1"/>
    </xf>
    <xf borderId="20" fillId="5" fontId="10" numFmtId="0" xfId="0" applyAlignment="1" applyBorder="1" applyFont="1">
      <alignment readingOrder="0" shrinkToFit="0" vertical="bottom" wrapText="1"/>
    </xf>
    <xf borderId="20" fillId="5" fontId="10" numFmtId="0" xfId="0" applyAlignment="1" applyBorder="1" applyFont="1">
      <alignment readingOrder="0" shrinkToFit="0" wrapText="1"/>
    </xf>
    <xf borderId="0" fillId="3" fontId="1" numFmtId="0" xfId="0" applyAlignment="1" applyFont="1">
      <alignment horizontal="center" shrinkToFit="0" vertical="center" wrapText="1"/>
    </xf>
    <xf borderId="20" fillId="5" fontId="11" numFmtId="0" xfId="0" applyAlignment="1" applyBorder="1" applyFont="1">
      <alignment readingOrder="0" shrinkToFit="0" vertical="bottom" wrapText="1"/>
    </xf>
    <xf borderId="20" fillId="5" fontId="12" numFmtId="0" xfId="0" applyAlignment="1" applyBorder="1" applyFont="1">
      <alignment readingOrder="0" shrinkToFit="0" vertical="bottom" wrapText="1"/>
    </xf>
    <xf borderId="20" fillId="5" fontId="12" numFmtId="0" xfId="0" applyAlignment="1" applyBorder="1" applyFont="1">
      <alignment readingOrder="0" shrinkToFit="0" wrapText="1"/>
    </xf>
    <xf borderId="20" fillId="5" fontId="10" numFmtId="1" xfId="0" applyAlignment="1" applyBorder="1" applyFont="1" applyNumberFormat="1">
      <alignment readingOrder="0" shrinkToFit="0" vertical="bottom" wrapText="1"/>
    </xf>
    <xf borderId="20" fillId="5" fontId="13" numFmtId="0" xfId="0" applyAlignment="1" applyBorder="1" applyFont="1">
      <alignment readingOrder="0" shrinkToFit="0" vertical="bottom" wrapText="1"/>
    </xf>
    <xf borderId="0" fillId="4" fontId="1" numFmtId="0" xfId="0" applyAlignment="1" applyFont="1">
      <alignment horizontal="center" shrinkToFit="0" vertical="center" wrapText="1"/>
    </xf>
    <xf borderId="0" fillId="4" fontId="8" numFmtId="0" xfId="0" applyFont="1"/>
    <xf borderId="20" fillId="5" fontId="1" numFmtId="1" xfId="0" applyAlignment="1" applyBorder="1" applyFont="1" applyNumberFormat="1">
      <alignment horizontal="center" shrinkToFit="0" vertical="center" wrapText="1"/>
    </xf>
    <xf borderId="20" fillId="6" fontId="10" numFmtId="0" xfId="0" applyAlignment="1" applyBorder="1" applyFill="1" applyFont="1">
      <alignment readingOrder="0" shrinkToFit="0" vertical="bottom" wrapText="1"/>
    </xf>
    <xf borderId="20" fillId="6" fontId="10" numFmtId="1" xfId="0" applyAlignment="1" applyBorder="1" applyFont="1" applyNumberFormat="1">
      <alignment readingOrder="0" shrinkToFit="0" vertical="bottom" wrapText="1"/>
    </xf>
    <xf borderId="24" fillId="4" fontId="1" numFmtId="0" xfId="0" applyAlignment="1" applyBorder="1" applyFont="1">
      <alignment horizontal="center" shrinkToFit="0" vertical="center" wrapText="1"/>
    </xf>
    <xf borderId="1" fillId="4" fontId="1" numFmtId="0" xfId="0" applyAlignment="1" applyBorder="1" applyFont="1">
      <alignment horizontal="center" shrinkToFit="0" vertical="center" wrapText="1"/>
    </xf>
    <xf borderId="20" fillId="5" fontId="14" numFmtId="0" xfId="0" applyAlignment="1" applyBorder="1" applyFont="1">
      <alignment horizontal="left" readingOrder="0" shrinkToFit="0" vertical="bottom" wrapText="1"/>
    </xf>
    <xf borderId="20" fillId="0" fontId="1" numFmtId="1" xfId="0" applyAlignment="1" applyBorder="1" applyFont="1" applyNumberFormat="1">
      <alignment horizontal="center" shrinkToFit="0" vertical="center" wrapText="1"/>
    </xf>
    <xf borderId="0" fillId="0" fontId="1" numFmtId="1" xfId="0" applyAlignment="1" applyFont="1" applyNumberFormat="1">
      <alignment horizontal="center" shrinkToFit="0" vertical="center" wrapText="1"/>
    </xf>
    <xf borderId="20" fillId="5" fontId="1" numFmtId="1" xfId="0" applyAlignment="1" applyBorder="1" applyFont="1" applyNumberFormat="1">
      <alignment vertical="bottom"/>
    </xf>
    <xf borderId="20" fillId="5" fontId="1" numFmtId="1" xfId="0" applyAlignment="1" applyBorder="1" applyFont="1" applyNumberFormat="1">
      <alignment readingOrder="0" shrinkToFit="0" vertical="bottom" wrapText="1"/>
    </xf>
    <xf borderId="20" fillId="5" fontId="1" numFmtId="0" xfId="0" applyAlignment="1" applyBorder="1" applyFont="1">
      <alignment shrinkToFit="0" vertical="bottom" wrapText="1"/>
    </xf>
    <xf borderId="20" fillId="5" fontId="14" numFmtId="0" xfId="0" applyAlignment="1" applyBorder="1" applyFont="1">
      <alignment shrinkToFit="0" vertical="bottom" wrapText="1"/>
    </xf>
    <xf borderId="20" fillId="5" fontId="1" numFmtId="0" xfId="0" applyAlignment="1" applyBorder="1" applyFont="1">
      <alignment readingOrder="0" shrinkToFit="0" wrapText="1"/>
    </xf>
    <xf borderId="24" fillId="3" fontId="1" numFmtId="0" xfId="0" applyBorder="1" applyFont="1"/>
    <xf borderId="1" fillId="3" fontId="1" numFmtId="0" xfId="0" applyBorder="1" applyFont="1"/>
    <xf borderId="0" fillId="0" fontId="1" numFmtId="0" xfId="0" applyAlignment="1" applyFont="1">
      <alignment vertical="bottom"/>
    </xf>
    <xf borderId="20" fillId="5" fontId="15" numFmtId="1" xfId="0" applyAlignment="1" applyBorder="1" applyFont="1" applyNumberFormat="1">
      <alignment readingOrder="0" shrinkToFit="0" vertical="bottom" wrapText="1"/>
    </xf>
    <xf borderId="20" fillId="5" fontId="15" numFmtId="0" xfId="0" applyAlignment="1" applyBorder="1" applyFont="1">
      <alignment shrinkToFit="0" vertical="bottom" wrapText="1"/>
    </xf>
    <xf borderId="20" fillId="5" fontId="15" numFmtId="0" xfId="0" applyAlignment="1" applyBorder="1" applyFont="1">
      <alignment readingOrder="0" shrinkToFit="0" vertical="bottom" wrapText="1"/>
    </xf>
    <xf borderId="0" fillId="0" fontId="1" numFmtId="0" xfId="0" applyFont="1"/>
    <xf borderId="20" fillId="5" fontId="1" numFmtId="0" xfId="0" applyAlignment="1" applyBorder="1" applyFont="1">
      <alignment readingOrder="0" shrinkToFit="0" vertical="bottom" wrapText="1"/>
    </xf>
    <xf borderId="0" fillId="5" fontId="1" numFmtId="1" xfId="0" applyAlignment="1" applyFont="1" applyNumberFormat="1">
      <alignment horizontal="left" shrinkToFit="0" vertical="bottom" wrapText="1"/>
    </xf>
    <xf borderId="20" fillId="5" fontId="13" numFmtId="0" xfId="0" applyAlignment="1" applyBorder="1" applyFont="1">
      <alignment readingOrder="0" shrinkToFit="0" wrapText="1"/>
    </xf>
    <xf borderId="20" fillId="3" fontId="1" numFmtId="1" xfId="0" applyAlignment="1" applyBorder="1" applyFont="1" applyNumberFormat="1">
      <alignment horizontal="center" shrinkToFit="0" vertical="center" wrapText="1"/>
    </xf>
    <xf borderId="0" fillId="3" fontId="1" numFmtId="1" xfId="0" applyAlignment="1" applyFont="1" applyNumberFormat="1">
      <alignment horizontal="center" shrinkToFit="0" vertical="center" wrapText="1"/>
    </xf>
    <xf borderId="0" fillId="3" fontId="8" numFmtId="0" xfId="0" applyFont="1"/>
    <xf borderId="20" fillId="7" fontId="1" numFmtId="1" xfId="0" applyAlignment="1" applyBorder="1" applyFill="1" applyFont="1" applyNumberFormat="1">
      <alignment horizontal="center" shrinkToFit="0" vertical="center" wrapText="1"/>
    </xf>
    <xf borderId="0" fillId="7" fontId="1" numFmtId="1" xfId="0" applyAlignment="1" applyFont="1" applyNumberFormat="1">
      <alignment horizontal="center" shrinkToFit="0" vertical="center" wrapText="1"/>
    </xf>
    <xf borderId="0" fillId="7" fontId="1" numFmtId="0" xfId="0" applyAlignment="1" applyFont="1">
      <alignment horizontal="center" shrinkToFit="0" vertical="center" wrapText="1"/>
    </xf>
    <xf borderId="0" fillId="7" fontId="8" numFmtId="0" xfId="0" applyFont="1"/>
    <xf borderId="0" fillId="5" fontId="8" numFmtId="0" xfId="0" applyAlignment="1" applyFont="1">
      <alignment readingOrder="0"/>
    </xf>
    <xf borderId="20" fillId="5" fontId="10" numFmtId="0" xfId="0" applyAlignment="1" applyBorder="1" applyFont="1">
      <alignment shrinkToFit="0" vertical="bottom" wrapText="1"/>
    </xf>
    <xf borderId="0" fillId="0" fontId="1" numFmtId="0" xfId="0" applyAlignment="1" applyFont="1">
      <alignment horizontal="center" readingOrder="0" shrinkToFit="0" vertical="center" wrapText="1"/>
    </xf>
    <xf borderId="0" fillId="0" fontId="8" numFmtId="0" xfId="0" applyFont="1"/>
    <xf borderId="20" fillId="2" fontId="1" numFmtId="0" xfId="0" applyAlignment="1" applyBorder="1" applyFont="1">
      <alignment horizontal="center" shrinkToFit="0" vertical="center" wrapText="1"/>
    </xf>
    <xf borderId="24" fillId="2" fontId="1" numFmtId="0" xfId="0" applyBorder="1" applyFont="1"/>
    <xf borderId="1" fillId="2" fontId="1" numFmtId="0" xfId="0" applyAlignment="1" applyBorder="1" applyFont="1">
      <alignment horizontal="center" shrinkToFit="0" vertical="center" wrapText="1"/>
    </xf>
    <xf borderId="1" fillId="2" fontId="1" numFmtId="0" xfId="0" applyAlignment="1" applyBorder="1" applyFont="1">
      <alignment horizontal="center" shrinkToFit="0" wrapText="1"/>
    </xf>
    <xf borderId="20" fillId="0" fontId="8" numFmtId="0" xfId="0" applyAlignment="1" applyBorder="1" applyFont="1">
      <alignment shrinkToFit="0" wrapText="1"/>
    </xf>
    <xf borderId="20" fillId="8" fontId="16" numFmtId="0" xfId="0" applyAlignment="1" applyBorder="1" applyFill="1" applyFont="1">
      <alignment readingOrder="0"/>
    </xf>
    <xf borderId="20" fillId="8" fontId="8" numFmtId="0" xfId="0" applyBorder="1" applyFont="1"/>
    <xf borderId="20" fillId="0" fontId="8" numFmtId="0" xfId="0" applyBorder="1" applyFont="1"/>
    <xf borderId="20" fillId="9" fontId="8" numFmtId="0" xfId="0" applyAlignment="1" applyBorder="1" applyFill="1" applyFont="1">
      <alignment readingOrder="0" shrinkToFit="0" wrapText="1"/>
    </xf>
    <xf borderId="20" fillId="0" fontId="8" numFmtId="0" xfId="0" applyAlignment="1" applyBorder="1" applyFont="1">
      <alignment readingOrder="0"/>
    </xf>
    <xf borderId="0" fillId="0" fontId="1" numFmtId="0" xfId="0" applyAlignment="1" applyFont="1">
      <alignment readingOrder="0"/>
    </xf>
    <xf borderId="0" fillId="0" fontId="8" numFmtId="0" xfId="0" applyAlignment="1" applyFont="1">
      <alignment readingOrder="0"/>
    </xf>
  </cellXfs>
  <cellStyles count="1">
    <cellStyle xfId="0" name="Normal" builtinId="0"/>
  </cellStyles>
  <dxfs count="1">
    <dxf>
      <font/>
      <fill>
        <patternFill patternType="solid">
          <fgColor rgb="FFB7E1CD"/>
          <bgColor rgb="FFB7E1CD"/>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sz="1400">
                <a:solidFill>
                  <a:srgbClr val="757575"/>
                </a:solidFill>
                <a:latin typeface="+mn-lt"/>
              </a:defRPr>
            </a:pPr>
            <a:r>
              <a:rPr b="0" i="0" sz="1400">
                <a:solidFill>
                  <a:srgbClr val="757575"/>
                </a:solidFill>
                <a:latin typeface="+mn-lt"/>
              </a:rPr>
              <a:t>Avance del proceso de ejecución</a:t>
            </a:r>
          </a:p>
        </c:rich>
      </c:tx>
      <c:overlay val="0"/>
    </c:title>
    <c:plotArea>
      <c:layout/>
      <c:barChart>
        <c:barDir val="bar"/>
        <c:ser>
          <c:idx val="0"/>
          <c:order val="0"/>
          <c:cat>
            <c:strRef>
              <c:f>Control!$C$6:$C$10</c:f>
            </c:strRef>
          </c:cat>
          <c:val>
            <c:numRef>
              <c:f>Control!$D$6:$D$10</c:f>
              <c:numCache/>
            </c:numRef>
          </c:val>
        </c:ser>
        <c:axId val="1640074710"/>
        <c:axId val="70547170"/>
      </c:barChart>
      <c:catAx>
        <c:axId val="164007471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i="0" sz="900">
                <a:solidFill>
                  <a:srgbClr val="000000"/>
                </a:solidFill>
                <a:latin typeface="+mn-lt"/>
              </a:defRPr>
            </a:pPr>
          </a:p>
        </c:txPr>
        <c:crossAx val="70547170"/>
      </c:catAx>
      <c:valAx>
        <c:axId val="70547170"/>
        <c:scaling>
          <c:orientation val="minMax"/>
        </c:scaling>
        <c:delete val="0"/>
        <c:axPos val="b"/>
        <c:tickLblPos val="nextTo"/>
        <c:spPr>
          <a:ln>
            <a:noFill/>
          </a:ln>
        </c:spPr>
        <c:crossAx val="1640074710"/>
        <c:crosses val="max"/>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i="0">
                <a:solidFill>
                  <a:srgbClr val="757575"/>
                </a:solidFill>
                <a:latin typeface="+mn-lt"/>
              </a:defRPr>
            </a:pPr>
            <a:r>
              <a:rPr b="0" i="0">
                <a:solidFill>
                  <a:srgbClr val="757575"/>
                </a:solidFill>
                <a:latin typeface="+mn-lt"/>
              </a:rPr>
              <a:t>Total casos que ejecuto cada integrante del equipo</a:t>
            </a:r>
          </a:p>
        </c:rich>
      </c:tx>
      <c:overlay val="0"/>
    </c:title>
    <c:plotArea>
      <c:layout/>
      <c:barChart>
        <c:barDir val="col"/>
        <c:ser>
          <c:idx val="0"/>
          <c:order val="0"/>
          <c:cat>
            <c:strRef>
              <c:f>Control!$D$18:$D$21</c:f>
            </c:strRef>
          </c:cat>
          <c:val>
            <c:numRef>
              <c:f>Control!$E$18:$E$21</c:f>
              <c:numCache/>
            </c:numRef>
          </c:val>
        </c:ser>
        <c:ser>
          <c:idx val="1"/>
          <c:order val="1"/>
          <c:cat>
            <c:strRef>
              <c:f>Control!$D$18:$D$21</c:f>
            </c:strRef>
          </c:cat>
          <c:val>
            <c:numRef>
              <c:f>Control!$F$18:$F$21</c:f>
              <c:numCache/>
            </c:numRef>
          </c:val>
        </c:ser>
        <c:axId val="61919629"/>
        <c:axId val="609829893"/>
      </c:barChart>
      <c:catAx>
        <c:axId val="61919629"/>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out"/>
        <c:minorTickMark val="none"/>
        <c:spPr/>
        <c:txPr>
          <a:bodyPr/>
          <a:lstStyle/>
          <a:p>
            <a:pPr lvl="0">
              <a:defRPr b="0" i="0">
                <a:solidFill>
                  <a:srgbClr val="000000"/>
                </a:solidFill>
                <a:latin typeface="+mn-lt"/>
              </a:defRPr>
            </a:pPr>
          </a:p>
        </c:txPr>
        <c:crossAx val="609829893"/>
      </c:catAx>
      <c:valAx>
        <c:axId val="609829893"/>
        <c:scaling>
          <c:orientation val="minMax"/>
        </c:scaling>
        <c:delete val="0"/>
        <c:axPos val="l"/>
        <c:tickLblPos val="nextTo"/>
        <c:spPr>
          <a:ln>
            <a:noFill/>
          </a:ln>
        </c:spPr>
        <c:crossAx val="61919629"/>
      </c:valAx>
    </c:plotArea>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CANTIDAD DE PRUEBAS</a:t>
            </a:r>
          </a:p>
        </c:rich>
      </c:tx>
      <c:overlay val="0"/>
    </c:title>
    <c:plotArea>
      <c:layout/>
      <c:pieChart>
        <c:varyColors val="1"/>
        <c:ser>
          <c:idx val="0"/>
          <c:order val="0"/>
          <c:dPt>
            <c:idx val="0"/>
            <c:spPr>
              <a:solidFill>
                <a:srgbClr val="4472C4"/>
              </a:solidFill>
            </c:spPr>
          </c:dPt>
          <c:dPt>
            <c:idx val="1"/>
            <c:spPr>
              <a:solidFill>
                <a:srgbClr val="ED7D31"/>
              </a:solidFill>
            </c:spPr>
          </c:dPt>
          <c:dPt>
            <c:idx val="2"/>
            <c:spPr>
              <a:solidFill>
                <a:srgbClr val="A5A5A5"/>
              </a:solidFill>
            </c:spPr>
          </c:dPt>
          <c:dLbls>
            <c:showLegendKey val="0"/>
            <c:showVal val="0"/>
            <c:showCatName val="0"/>
            <c:showSerName val="0"/>
            <c:showPercent val="0"/>
            <c:showBubbleSize val="0"/>
            <c:showLeaderLines val="1"/>
          </c:dLbls>
          <c:cat>
            <c:strRef>
              <c:f>'DATOS 3'!$A$5:$A$7</c:f>
            </c:strRef>
          </c:cat>
          <c:val>
            <c:numRef>
              <c:f>'DATOS 3'!$B$5:$B$7</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plotArea>
      <c:layout/>
      <c:barChart>
        <c:barDir val="col"/>
        <c:ser>
          <c:idx val="0"/>
          <c:order val="0"/>
          <c:spPr>
            <a:solidFill>
              <a:schemeClr val="accent1"/>
            </a:solidFill>
            <a:ln cmpd="sng">
              <a:solidFill>
                <a:srgbClr val="000000"/>
              </a:solidFill>
            </a:ln>
          </c:spPr>
          <c:dLbls>
            <c:numFmt formatCode="General" sourceLinked="1"/>
            <c:txPr>
              <a:bodyPr/>
              <a:lstStyle/>
              <a:p>
                <a:pPr lvl="0">
                  <a:defRPr/>
                </a:pPr>
              </a:p>
            </c:txPr>
            <c:showLegendKey val="0"/>
            <c:showVal val="1"/>
            <c:showCatName val="0"/>
            <c:showSerName val="0"/>
            <c:showPercent val="0"/>
            <c:showBubbleSize val="0"/>
          </c:dLbls>
          <c:cat>
            <c:strRef>
              <c:f>'DATOS 3'!$I$3:$I$7</c:f>
            </c:strRef>
          </c:cat>
          <c:val>
            <c:numRef>
              <c:f>'DATOS 3'!$J$3:$J$7</c:f>
              <c:numCache/>
            </c:numRef>
          </c:val>
        </c:ser>
        <c:axId val="1528956353"/>
        <c:axId val="1347379360"/>
      </c:barChart>
      <c:catAx>
        <c:axId val="1528956353"/>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47379360"/>
      </c:catAx>
      <c:valAx>
        <c:axId val="1347379360"/>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28956353"/>
      </c:valAx>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_rels/drawing4.xml.rels><?xml version="1.0" encoding="UTF-8" standalone="yes"?><Relationships xmlns="http://schemas.openxmlformats.org/package/2006/relationships"><Relationship Id="rId1" Type="http://schemas.openxmlformats.org/officeDocument/2006/relationships/chart" Target="../charts/chart3.xml"/><Relationship Id="rId2"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6</xdr:col>
      <xdr:colOff>95250</xdr:colOff>
      <xdr:row>0</xdr:row>
      <xdr:rowOff>57150</xdr:rowOff>
    </xdr:from>
    <xdr:ext cx="4314825" cy="2324100"/>
    <xdr:graphicFrame>
      <xdr:nvGraphicFramePr>
        <xdr:cNvPr id="1440807502"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66675</xdr:colOff>
      <xdr:row>13</xdr:row>
      <xdr:rowOff>104775</xdr:rowOff>
    </xdr:from>
    <xdr:ext cx="4429125" cy="2114550"/>
    <xdr:graphicFrame>
      <xdr:nvGraphicFramePr>
        <xdr:cNvPr id="1196264005"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7</xdr:row>
      <xdr:rowOff>104775</xdr:rowOff>
    </xdr:from>
    <xdr:ext cx="5715000" cy="3533775"/>
    <xdr:graphicFrame>
      <xdr:nvGraphicFramePr>
        <xdr:cNvPr id="1845467022" name="Chart 3"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6</xdr:col>
      <xdr:colOff>600075</xdr:colOff>
      <xdr:row>8</xdr:row>
      <xdr:rowOff>123825</xdr:rowOff>
    </xdr:from>
    <xdr:ext cx="5715000" cy="3533775"/>
    <xdr:graphicFrame>
      <xdr:nvGraphicFramePr>
        <xdr:cNvPr id="1834175024" name="Chart 4"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3" width="3.29"/>
    <col customWidth="1" min="4" max="10" width="9.43"/>
    <col customWidth="1" min="11" max="12" width="3.29"/>
    <col customWidth="1" min="13" max="25"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2"/>
      <c r="C2" s="3"/>
      <c r="D2" s="3"/>
      <c r="E2" s="3"/>
      <c r="F2" s="3"/>
      <c r="G2" s="3"/>
      <c r="H2" s="3"/>
      <c r="I2" s="3"/>
      <c r="J2" s="3"/>
      <c r="K2" s="3"/>
      <c r="L2" s="4"/>
      <c r="M2" s="1"/>
      <c r="N2" s="1"/>
      <c r="O2" s="1"/>
      <c r="P2" s="1"/>
      <c r="Q2" s="1"/>
      <c r="R2" s="1"/>
      <c r="S2" s="1"/>
      <c r="T2" s="1"/>
      <c r="U2" s="1"/>
      <c r="V2" s="1"/>
      <c r="W2" s="1"/>
      <c r="X2" s="1"/>
      <c r="Y2" s="1"/>
      <c r="Z2" s="1"/>
    </row>
    <row r="3" ht="14.25" customHeight="1">
      <c r="A3" s="1"/>
      <c r="B3" s="5"/>
      <c r="C3" s="2"/>
      <c r="D3" s="3"/>
      <c r="E3" s="3"/>
      <c r="F3" s="3"/>
      <c r="G3" s="3"/>
      <c r="H3" s="3"/>
      <c r="I3" s="3"/>
      <c r="J3" s="3"/>
      <c r="K3" s="4"/>
      <c r="L3" s="6"/>
      <c r="M3" s="1"/>
      <c r="N3" s="1"/>
      <c r="O3" s="1"/>
      <c r="P3" s="1"/>
      <c r="Q3" s="1"/>
      <c r="R3" s="1"/>
      <c r="S3" s="1"/>
      <c r="T3" s="1"/>
      <c r="U3" s="1"/>
      <c r="V3" s="1"/>
      <c r="W3" s="1"/>
      <c r="X3" s="1"/>
      <c r="Y3" s="1"/>
      <c r="Z3" s="1"/>
    </row>
    <row r="4" ht="14.25" customHeight="1">
      <c r="A4" s="1"/>
      <c r="B4" s="5"/>
      <c r="C4" s="5"/>
      <c r="D4" s="1"/>
      <c r="E4" s="1"/>
      <c r="F4" s="1"/>
      <c r="G4" s="1"/>
      <c r="H4" s="1"/>
      <c r="I4" s="1"/>
      <c r="J4" s="1"/>
      <c r="K4" s="6"/>
      <c r="L4" s="6"/>
      <c r="M4" s="1"/>
      <c r="N4" s="1"/>
      <c r="O4" s="1"/>
      <c r="P4" s="1"/>
      <c r="Q4" s="1"/>
      <c r="R4" s="1"/>
      <c r="S4" s="1"/>
      <c r="T4" s="1"/>
      <c r="U4" s="1"/>
      <c r="V4" s="1"/>
      <c r="W4" s="1"/>
      <c r="X4" s="1"/>
      <c r="Y4" s="1"/>
      <c r="Z4" s="1"/>
    </row>
    <row r="5" ht="14.25" customHeight="1">
      <c r="A5" s="1"/>
      <c r="B5" s="5"/>
      <c r="C5" s="5"/>
      <c r="D5" s="1"/>
      <c r="E5" s="1"/>
      <c r="F5" s="1"/>
      <c r="G5" s="1"/>
      <c r="H5" s="1"/>
      <c r="I5" s="1"/>
      <c r="J5" s="1"/>
      <c r="K5" s="6"/>
      <c r="L5" s="6"/>
      <c r="M5" s="1"/>
      <c r="N5" s="1"/>
      <c r="O5" s="1"/>
      <c r="P5" s="1"/>
      <c r="Q5" s="1"/>
      <c r="R5" s="1"/>
      <c r="S5" s="1"/>
      <c r="T5" s="1"/>
      <c r="U5" s="1"/>
      <c r="V5" s="1"/>
      <c r="W5" s="1"/>
      <c r="X5" s="1"/>
      <c r="Y5" s="1"/>
      <c r="Z5" s="1"/>
    </row>
    <row r="6" ht="14.25" customHeight="1">
      <c r="A6" s="1"/>
      <c r="B6" s="5"/>
      <c r="C6" s="5"/>
      <c r="D6" s="1"/>
      <c r="E6" s="7" t="s">
        <v>0</v>
      </c>
      <c r="F6" s="8"/>
      <c r="G6" s="8"/>
      <c r="H6" s="8"/>
      <c r="I6" s="9"/>
      <c r="J6" s="1"/>
      <c r="K6" s="6"/>
      <c r="L6" s="6"/>
      <c r="M6" s="1"/>
      <c r="N6" s="1"/>
      <c r="O6" s="1"/>
      <c r="P6" s="1"/>
      <c r="Q6" s="1"/>
      <c r="R6" s="1"/>
      <c r="S6" s="1"/>
      <c r="T6" s="1"/>
      <c r="U6" s="1"/>
      <c r="V6" s="1"/>
      <c r="W6" s="1"/>
      <c r="X6" s="1"/>
      <c r="Y6" s="1"/>
      <c r="Z6" s="1"/>
    </row>
    <row r="7" ht="14.25" customHeight="1">
      <c r="A7" s="1"/>
      <c r="B7" s="5"/>
      <c r="C7" s="5"/>
      <c r="D7" s="1"/>
      <c r="E7" s="10"/>
      <c r="I7" s="11"/>
      <c r="J7" s="1"/>
      <c r="K7" s="6"/>
      <c r="L7" s="6"/>
      <c r="M7" s="1"/>
      <c r="N7" s="1"/>
      <c r="O7" s="1"/>
      <c r="P7" s="1"/>
      <c r="Q7" s="1"/>
      <c r="R7" s="1"/>
      <c r="S7" s="1"/>
      <c r="T7" s="1"/>
      <c r="U7" s="1"/>
      <c r="V7" s="1"/>
      <c r="W7" s="1"/>
      <c r="X7" s="1"/>
      <c r="Y7" s="1"/>
      <c r="Z7" s="1"/>
    </row>
    <row r="8" ht="14.25" customHeight="1">
      <c r="A8" s="1"/>
      <c r="B8" s="5"/>
      <c r="C8" s="5"/>
      <c r="D8" s="1"/>
      <c r="E8" s="10"/>
      <c r="I8" s="11"/>
      <c r="J8" s="1"/>
      <c r="K8" s="6"/>
      <c r="L8" s="6"/>
      <c r="M8" s="1"/>
      <c r="N8" s="1"/>
      <c r="O8" s="1"/>
      <c r="P8" s="1"/>
      <c r="Q8" s="1"/>
      <c r="R8" s="1"/>
      <c r="S8" s="1"/>
      <c r="T8" s="1"/>
      <c r="U8" s="1"/>
      <c r="V8" s="1"/>
      <c r="W8" s="1"/>
      <c r="X8" s="1"/>
      <c r="Y8" s="1"/>
      <c r="Z8" s="1"/>
    </row>
    <row r="9" ht="14.25" customHeight="1">
      <c r="A9" s="1"/>
      <c r="B9" s="5"/>
      <c r="C9" s="5"/>
      <c r="D9" s="1"/>
      <c r="E9" s="10"/>
      <c r="I9" s="11"/>
      <c r="J9" s="1"/>
      <c r="K9" s="6"/>
      <c r="L9" s="6"/>
      <c r="M9" s="1"/>
      <c r="N9" s="1"/>
      <c r="O9" s="1"/>
      <c r="P9" s="1"/>
      <c r="Q9" s="1"/>
      <c r="R9" s="1"/>
      <c r="S9" s="1"/>
      <c r="T9" s="1"/>
      <c r="U9" s="1"/>
      <c r="V9" s="1"/>
      <c r="W9" s="1"/>
      <c r="X9" s="1"/>
      <c r="Y9" s="1"/>
      <c r="Z9" s="1"/>
    </row>
    <row r="10" ht="14.25" customHeight="1">
      <c r="A10" s="1"/>
      <c r="B10" s="5"/>
      <c r="C10" s="5"/>
      <c r="D10" s="1"/>
      <c r="E10" s="12"/>
      <c r="F10" s="13"/>
      <c r="G10" s="13"/>
      <c r="H10" s="13"/>
      <c r="I10" s="14"/>
      <c r="J10" s="1"/>
      <c r="K10" s="6"/>
      <c r="L10" s="6"/>
      <c r="M10" s="1"/>
      <c r="N10" s="1"/>
      <c r="O10" s="1"/>
      <c r="P10" s="1"/>
      <c r="Q10" s="1"/>
      <c r="R10" s="1"/>
      <c r="S10" s="1"/>
      <c r="T10" s="1"/>
      <c r="U10" s="1"/>
      <c r="V10" s="1"/>
      <c r="W10" s="1"/>
      <c r="X10" s="1"/>
      <c r="Y10" s="1"/>
      <c r="Z10" s="1"/>
    </row>
    <row r="11" ht="14.25" customHeight="1">
      <c r="A11" s="1"/>
      <c r="B11" s="5"/>
      <c r="C11" s="5"/>
      <c r="D11" s="1"/>
      <c r="E11" s="1"/>
      <c r="F11" s="1"/>
      <c r="G11" s="1"/>
      <c r="H11" s="1"/>
      <c r="I11" s="1"/>
      <c r="J11" s="1"/>
      <c r="K11" s="6"/>
      <c r="L11" s="6"/>
      <c r="M11" s="1"/>
      <c r="N11" s="1"/>
      <c r="O11" s="1"/>
      <c r="P11" s="1"/>
      <c r="Q11" s="1"/>
      <c r="R11" s="1"/>
      <c r="S11" s="1"/>
      <c r="T11" s="1"/>
      <c r="U11" s="1"/>
      <c r="V11" s="1"/>
      <c r="W11" s="1"/>
      <c r="X11" s="1"/>
      <c r="Y11" s="1"/>
      <c r="Z11" s="1"/>
    </row>
    <row r="12" ht="14.25" customHeight="1">
      <c r="A12" s="1"/>
      <c r="B12" s="5"/>
      <c r="C12" s="5"/>
      <c r="D12" s="1"/>
      <c r="E12" s="1"/>
      <c r="F12" s="1"/>
      <c r="G12" s="1"/>
      <c r="H12" s="1"/>
      <c r="I12" s="1"/>
      <c r="J12" s="1"/>
      <c r="K12" s="6"/>
      <c r="L12" s="6"/>
      <c r="M12" s="1"/>
      <c r="N12" s="1"/>
      <c r="O12" s="1"/>
      <c r="P12" s="1"/>
      <c r="Q12" s="1"/>
      <c r="R12" s="1"/>
      <c r="S12" s="1"/>
      <c r="T12" s="1"/>
      <c r="U12" s="1"/>
      <c r="V12" s="1"/>
      <c r="W12" s="1"/>
      <c r="X12" s="1"/>
      <c r="Y12" s="1"/>
      <c r="Z12" s="1"/>
    </row>
    <row r="13" ht="14.25" customHeight="1">
      <c r="A13" s="1"/>
      <c r="B13" s="5"/>
      <c r="C13" s="5"/>
      <c r="D13" s="1"/>
      <c r="E13" s="1"/>
      <c r="F13" s="1"/>
      <c r="G13" s="1"/>
      <c r="H13" s="1"/>
      <c r="I13" s="1"/>
      <c r="J13" s="1"/>
      <c r="K13" s="6"/>
      <c r="L13" s="6"/>
      <c r="M13" s="1"/>
      <c r="N13" s="1"/>
      <c r="O13" s="1"/>
      <c r="P13" s="1"/>
      <c r="Q13" s="1"/>
      <c r="R13" s="1"/>
      <c r="S13" s="1"/>
      <c r="T13" s="1"/>
      <c r="U13" s="1"/>
      <c r="V13" s="1"/>
      <c r="W13" s="1"/>
      <c r="X13" s="1"/>
      <c r="Y13" s="1"/>
      <c r="Z13" s="1"/>
    </row>
    <row r="14" ht="14.25" customHeight="1">
      <c r="A14" s="1"/>
      <c r="B14" s="5"/>
      <c r="C14" s="5"/>
      <c r="D14" s="1"/>
      <c r="E14" s="1"/>
      <c r="F14" s="1"/>
      <c r="G14" s="1"/>
      <c r="H14" s="1"/>
      <c r="I14" s="1"/>
      <c r="J14" s="1"/>
      <c r="K14" s="6"/>
      <c r="L14" s="6"/>
      <c r="M14" s="1"/>
      <c r="N14" s="1"/>
      <c r="O14" s="1"/>
      <c r="P14" s="1"/>
      <c r="Q14" s="1"/>
      <c r="R14" s="1"/>
      <c r="S14" s="1"/>
      <c r="T14" s="1"/>
      <c r="U14" s="1"/>
      <c r="V14" s="1"/>
      <c r="W14" s="1"/>
      <c r="X14" s="1"/>
      <c r="Y14" s="1"/>
      <c r="Z14" s="1"/>
    </row>
    <row r="15" ht="14.25" customHeight="1">
      <c r="A15" s="1"/>
      <c r="B15" s="5"/>
      <c r="C15" s="5"/>
      <c r="D15" s="1"/>
      <c r="E15" s="1"/>
      <c r="F15" s="1"/>
      <c r="G15" s="1"/>
      <c r="H15" s="1"/>
      <c r="I15" s="1"/>
      <c r="J15" s="1"/>
      <c r="K15" s="6"/>
      <c r="L15" s="6"/>
      <c r="M15" s="1"/>
      <c r="N15" s="1"/>
      <c r="O15" s="1"/>
      <c r="P15" s="1"/>
      <c r="Q15" s="1"/>
      <c r="R15" s="1"/>
      <c r="S15" s="1"/>
      <c r="T15" s="1"/>
      <c r="U15" s="1"/>
      <c r="V15" s="1"/>
      <c r="W15" s="1"/>
      <c r="X15" s="1"/>
      <c r="Y15" s="1"/>
      <c r="Z15" s="1"/>
    </row>
    <row r="16" ht="14.25" customHeight="1">
      <c r="A16" s="1"/>
      <c r="B16" s="5"/>
      <c r="C16" s="5"/>
      <c r="D16" s="1"/>
      <c r="E16" s="1"/>
      <c r="F16" s="1"/>
      <c r="G16" s="1"/>
      <c r="H16" s="1"/>
      <c r="I16" s="1"/>
      <c r="J16" s="1"/>
      <c r="K16" s="6"/>
      <c r="L16" s="6"/>
      <c r="M16" s="1"/>
      <c r="N16" s="1"/>
      <c r="O16" s="1"/>
      <c r="P16" s="1"/>
      <c r="Q16" s="1"/>
      <c r="R16" s="1"/>
      <c r="S16" s="1"/>
      <c r="T16" s="1"/>
      <c r="U16" s="1"/>
      <c r="V16" s="1"/>
      <c r="W16" s="1"/>
      <c r="X16" s="1"/>
      <c r="Y16" s="1"/>
      <c r="Z16" s="1"/>
    </row>
    <row r="17" ht="14.25" customHeight="1">
      <c r="A17" s="1"/>
      <c r="B17" s="5"/>
      <c r="C17" s="5"/>
      <c r="D17" s="1"/>
      <c r="E17" s="1"/>
      <c r="F17" s="1"/>
      <c r="G17" s="1"/>
      <c r="H17" s="1"/>
      <c r="I17" s="1"/>
      <c r="J17" s="1"/>
      <c r="K17" s="6"/>
      <c r="L17" s="6"/>
      <c r="M17" s="1"/>
      <c r="N17" s="1"/>
      <c r="O17" s="1"/>
      <c r="P17" s="1"/>
      <c r="Q17" s="1"/>
      <c r="R17" s="1"/>
      <c r="S17" s="1"/>
      <c r="T17" s="1"/>
      <c r="U17" s="1"/>
      <c r="V17" s="1"/>
      <c r="W17" s="1"/>
      <c r="X17" s="1"/>
      <c r="Y17" s="1"/>
      <c r="Z17" s="1"/>
    </row>
    <row r="18" ht="14.25" customHeight="1">
      <c r="A18" s="1"/>
      <c r="B18" s="5"/>
      <c r="C18" s="5"/>
      <c r="D18" s="1"/>
      <c r="E18" s="1"/>
      <c r="F18" s="1"/>
      <c r="G18" s="1"/>
      <c r="H18" s="1"/>
      <c r="I18" s="1"/>
      <c r="J18" s="1"/>
      <c r="K18" s="6"/>
      <c r="L18" s="6"/>
      <c r="M18" s="1"/>
      <c r="N18" s="1"/>
      <c r="O18" s="1"/>
      <c r="P18" s="1"/>
      <c r="Q18" s="1"/>
      <c r="R18" s="1"/>
      <c r="S18" s="1"/>
      <c r="T18" s="1"/>
      <c r="U18" s="1"/>
      <c r="V18" s="1"/>
      <c r="W18" s="1"/>
      <c r="X18" s="1"/>
      <c r="Y18" s="1"/>
      <c r="Z18" s="1"/>
    </row>
    <row r="19" ht="14.25" customHeight="1">
      <c r="A19" s="1"/>
      <c r="B19" s="5"/>
      <c r="C19" s="5"/>
      <c r="D19" s="1"/>
      <c r="E19" s="1"/>
      <c r="F19" s="1"/>
      <c r="G19" s="1"/>
      <c r="H19" s="1"/>
      <c r="I19" s="1"/>
      <c r="J19" s="1"/>
      <c r="K19" s="6"/>
      <c r="L19" s="6"/>
      <c r="M19" s="1"/>
      <c r="N19" s="1"/>
      <c r="O19" s="1"/>
      <c r="P19" s="1"/>
      <c r="Q19" s="1"/>
      <c r="R19" s="1"/>
      <c r="S19" s="1"/>
      <c r="T19" s="1"/>
      <c r="U19" s="1"/>
      <c r="V19" s="1"/>
      <c r="W19" s="1"/>
      <c r="X19" s="1"/>
      <c r="Y19" s="1"/>
      <c r="Z19" s="1"/>
    </row>
    <row r="20" ht="14.25" customHeight="1">
      <c r="A20" s="1"/>
      <c r="B20" s="5"/>
      <c r="C20" s="5"/>
      <c r="D20" s="1"/>
      <c r="E20" s="1"/>
      <c r="F20" s="1"/>
      <c r="G20" s="1"/>
      <c r="H20" s="1"/>
      <c r="I20" s="1"/>
      <c r="J20" s="1"/>
      <c r="K20" s="6"/>
      <c r="L20" s="6"/>
      <c r="M20" s="1"/>
      <c r="N20" s="1"/>
      <c r="O20" s="1"/>
      <c r="P20" s="1"/>
      <c r="Q20" s="1"/>
      <c r="R20" s="1"/>
      <c r="S20" s="1"/>
      <c r="T20" s="1"/>
      <c r="U20" s="1"/>
      <c r="V20" s="1"/>
      <c r="W20" s="1"/>
      <c r="X20" s="1"/>
      <c r="Y20" s="1"/>
      <c r="Z20" s="1"/>
    </row>
    <row r="21" ht="14.25" customHeight="1">
      <c r="A21" s="1"/>
      <c r="B21" s="5"/>
      <c r="C21" s="5"/>
      <c r="D21" s="1"/>
      <c r="E21" s="1"/>
      <c r="F21" s="1"/>
      <c r="G21" s="1"/>
      <c r="H21" s="1"/>
      <c r="I21" s="1"/>
      <c r="J21" s="1"/>
      <c r="K21" s="6"/>
      <c r="L21" s="6"/>
      <c r="M21" s="1"/>
      <c r="N21" s="1"/>
      <c r="O21" s="1"/>
      <c r="P21" s="1"/>
      <c r="Q21" s="1"/>
      <c r="R21" s="1"/>
      <c r="S21" s="1"/>
      <c r="T21" s="1"/>
      <c r="U21" s="1"/>
      <c r="V21" s="1"/>
      <c r="W21" s="1"/>
      <c r="X21" s="1"/>
      <c r="Y21" s="1"/>
      <c r="Z21" s="1"/>
    </row>
    <row r="22" ht="14.25" customHeight="1">
      <c r="A22" s="1"/>
      <c r="B22" s="5"/>
      <c r="C22" s="5"/>
      <c r="D22" s="1"/>
      <c r="E22" s="1"/>
      <c r="F22" s="1"/>
      <c r="G22" s="1"/>
      <c r="H22" s="1"/>
      <c r="I22" s="1"/>
      <c r="J22" s="1"/>
      <c r="K22" s="6"/>
      <c r="L22" s="6"/>
      <c r="M22" s="1"/>
      <c r="N22" s="1"/>
      <c r="O22" s="1"/>
      <c r="P22" s="1"/>
      <c r="Q22" s="1"/>
      <c r="R22" s="1"/>
      <c r="S22" s="1"/>
      <c r="T22" s="1"/>
      <c r="U22" s="1"/>
      <c r="V22" s="1"/>
      <c r="W22" s="1"/>
      <c r="X22" s="1"/>
      <c r="Y22" s="1"/>
      <c r="Z22" s="1"/>
    </row>
    <row r="23" ht="14.25" customHeight="1">
      <c r="A23" s="1"/>
      <c r="B23" s="5"/>
      <c r="C23" s="5"/>
      <c r="D23" s="1"/>
      <c r="E23" s="1"/>
      <c r="F23" s="1"/>
      <c r="G23" s="1"/>
      <c r="H23" s="1"/>
      <c r="I23" s="1"/>
      <c r="J23" s="1"/>
      <c r="K23" s="6"/>
      <c r="L23" s="6"/>
      <c r="M23" s="1"/>
      <c r="N23" s="1"/>
      <c r="O23" s="1"/>
      <c r="P23" s="1"/>
      <c r="Q23" s="1"/>
      <c r="R23" s="1"/>
      <c r="S23" s="1"/>
      <c r="T23" s="1"/>
      <c r="U23" s="1"/>
      <c r="V23" s="1"/>
      <c r="W23" s="1"/>
      <c r="X23" s="1"/>
      <c r="Y23" s="1"/>
      <c r="Z23" s="1"/>
    </row>
    <row r="24" ht="14.25" customHeight="1">
      <c r="A24" s="1"/>
      <c r="B24" s="5"/>
      <c r="C24" s="5"/>
      <c r="D24" s="1"/>
      <c r="E24" s="1"/>
      <c r="F24" s="1"/>
      <c r="G24" s="1"/>
      <c r="H24" s="1"/>
      <c r="I24" s="1"/>
      <c r="J24" s="1"/>
      <c r="K24" s="6"/>
      <c r="L24" s="6"/>
      <c r="M24" s="1"/>
      <c r="N24" s="1"/>
      <c r="O24" s="1"/>
      <c r="P24" s="1"/>
      <c r="Q24" s="1"/>
      <c r="R24" s="1"/>
      <c r="S24" s="1"/>
      <c r="T24" s="1"/>
      <c r="U24" s="1"/>
      <c r="V24" s="1"/>
      <c r="W24" s="1"/>
      <c r="X24" s="1"/>
      <c r="Y24" s="1"/>
      <c r="Z24" s="1"/>
    </row>
    <row r="25" ht="14.25" customHeight="1">
      <c r="A25" s="1"/>
      <c r="B25" s="5"/>
      <c r="C25" s="5"/>
      <c r="D25" s="1"/>
      <c r="E25" s="1"/>
      <c r="F25" s="1"/>
      <c r="G25" s="1"/>
      <c r="H25" s="1"/>
      <c r="I25" s="1"/>
      <c r="J25" s="1"/>
      <c r="K25" s="6"/>
      <c r="L25" s="6"/>
      <c r="M25" s="1"/>
      <c r="N25" s="1"/>
      <c r="O25" s="1"/>
      <c r="P25" s="1"/>
      <c r="Q25" s="1"/>
      <c r="R25" s="1"/>
      <c r="S25" s="1"/>
      <c r="T25" s="1"/>
      <c r="U25" s="1"/>
      <c r="V25" s="1"/>
      <c r="W25" s="1"/>
      <c r="X25" s="1"/>
      <c r="Y25" s="1"/>
      <c r="Z25" s="1"/>
    </row>
    <row r="26" ht="14.25" customHeight="1">
      <c r="A26" s="1"/>
      <c r="B26" s="5"/>
      <c r="C26" s="5"/>
      <c r="D26" s="1"/>
      <c r="E26" s="1"/>
      <c r="F26" s="1"/>
      <c r="G26" s="1"/>
      <c r="H26" s="1"/>
      <c r="I26" s="1"/>
      <c r="J26" s="1"/>
      <c r="K26" s="6"/>
      <c r="L26" s="6"/>
      <c r="M26" s="1"/>
      <c r="N26" s="1"/>
      <c r="O26" s="1"/>
      <c r="P26" s="1"/>
      <c r="Q26" s="1"/>
      <c r="R26" s="1"/>
      <c r="S26" s="1"/>
      <c r="T26" s="1"/>
      <c r="U26" s="1"/>
      <c r="V26" s="1"/>
      <c r="W26" s="1"/>
      <c r="X26" s="1"/>
      <c r="Y26" s="1"/>
      <c r="Z26" s="1"/>
    </row>
    <row r="27" ht="14.25" customHeight="1">
      <c r="A27" s="1"/>
      <c r="B27" s="5"/>
      <c r="C27" s="5"/>
      <c r="D27" s="1"/>
      <c r="E27" s="1"/>
      <c r="F27" s="1"/>
      <c r="G27" s="1"/>
      <c r="H27" s="1"/>
      <c r="I27" s="1"/>
      <c r="J27" s="1"/>
      <c r="K27" s="6"/>
      <c r="L27" s="6"/>
      <c r="M27" s="1"/>
      <c r="N27" s="1"/>
      <c r="O27" s="1"/>
      <c r="P27" s="1"/>
      <c r="Q27" s="1"/>
      <c r="R27" s="1"/>
      <c r="S27" s="1"/>
      <c r="T27" s="1"/>
      <c r="U27" s="1"/>
      <c r="V27" s="1"/>
      <c r="W27" s="1"/>
      <c r="X27" s="1"/>
      <c r="Y27" s="1"/>
      <c r="Z27" s="1"/>
    </row>
    <row r="28" ht="14.25" customHeight="1">
      <c r="A28" s="1"/>
      <c r="B28" s="5"/>
      <c r="C28" s="5"/>
      <c r="D28" s="1"/>
      <c r="E28" s="1"/>
      <c r="F28" s="1"/>
      <c r="G28" s="1"/>
      <c r="H28" s="1"/>
      <c r="I28" s="1"/>
      <c r="J28" s="1"/>
      <c r="K28" s="6"/>
      <c r="L28" s="6"/>
      <c r="M28" s="1"/>
      <c r="N28" s="1"/>
      <c r="O28" s="1"/>
      <c r="P28" s="1"/>
      <c r="Q28" s="1"/>
      <c r="R28" s="1"/>
      <c r="S28" s="1"/>
      <c r="T28" s="1"/>
      <c r="U28" s="1"/>
      <c r="V28" s="1"/>
      <c r="W28" s="1"/>
      <c r="X28" s="1"/>
      <c r="Y28" s="1"/>
      <c r="Z28" s="1"/>
    </row>
    <row r="29" ht="14.25" customHeight="1">
      <c r="A29" s="1"/>
      <c r="B29" s="5"/>
      <c r="C29" s="5"/>
      <c r="D29" s="1"/>
      <c r="E29" s="1"/>
      <c r="F29" s="1"/>
      <c r="G29" s="1"/>
      <c r="H29" s="1"/>
      <c r="I29" s="1"/>
      <c r="J29" s="1"/>
      <c r="K29" s="6"/>
      <c r="L29" s="6"/>
      <c r="M29" s="1"/>
      <c r="N29" s="1"/>
      <c r="O29" s="1"/>
      <c r="P29" s="1"/>
      <c r="Q29" s="1"/>
      <c r="R29" s="1"/>
      <c r="S29" s="1"/>
      <c r="T29" s="1"/>
      <c r="U29" s="1"/>
      <c r="V29" s="1"/>
      <c r="W29" s="1"/>
      <c r="X29" s="1"/>
      <c r="Y29" s="1"/>
      <c r="Z29" s="1"/>
    </row>
    <row r="30" ht="14.25" customHeight="1">
      <c r="A30" s="1"/>
      <c r="B30" s="5"/>
      <c r="C30" s="5"/>
      <c r="D30" s="1"/>
      <c r="E30" s="1"/>
      <c r="F30" s="1"/>
      <c r="G30" s="1"/>
      <c r="H30" s="1"/>
      <c r="I30" s="1"/>
      <c r="J30" s="1"/>
      <c r="K30" s="6"/>
      <c r="L30" s="6"/>
      <c r="M30" s="1"/>
      <c r="N30" s="1"/>
      <c r="O30" s="1"/>
      <c r="P30" s="1"/>
      <c r="Q30" s="1"/>
      <c r="R30" s="1"/>
      <c r="S30" s="1"/>
      <c r="T30" s="1"/>
      <c r="U30" s="1"/>
      <c r="V30" s="1"/>
      <c r="W30" s="1"/>
      <c r="X30" s="1"/>
      <c r="Y30" s="1"/>
      <c r="Z30" s="1"/>
    </row>
    <row r="31" ht="14.25" customHeight="1">
      <c r="A31" s="1"/>
      <c r="B31" s="5"/>
      <c r="C31" s="5"/>
      <c r="D31" s="1"/>
      <c r="E31" s="1"/>
      <c r="F31" s="1"/>
      <c r="G31" s="1"/>
      <c r="H31" s="1"/>
      <c r="I31" s="1"/>
      <c r="J31" s="1"/>
      <c r="K31" s="6"/>
      <c r="L31" s="6"/>
      <c r="M31" s="1"/>
      <c r="N31" s="1"/>
      <c r="O31" s="1"/>
      <c r="P31" s="1"/>
      <c r="Q31" s="1"/>
      <c r="R31" s="1"/>
      <c r="S31" s="1"/>
      <c r="T31" s="1"/>
      <c r="U31" s="1"/>
      <c r="V31" s="1"/>
      <c r="W31" s="1"/>
      <c r="X31" s="1"/>
      <c r="Y31" s="1"/>
      <c r="Z31" s="1"/>
    </row>
    <row r="32" ht="14.25" customHeight="1">
      <c r="A32" s="1"/>
      <c r="B32" s="5"/>
      <c r="C32" s="5"/>
      <c r="D32" s="1"/>
      <c r="E32" s="1"/>
      <c r="F32" s="1"/>
      <c r="G32" s="1"/>
      <c r="H32" s="1"/>
      <c r="I32" s="1"/>
      <c r="J32" s="1"/>
      <c r="K32" s="6"/>
      <c r="L32" s="6"/>
      <c r="M32" s="1"/>
      <c r="N32" s="1"/>
      <c r="O32" s="1"/>
      <c r="P32" s="1"/>
      <c r="Q32" s="1"/>
      <c r="R32" s="1"/>
      <c r="S32" s="1"/>
      <c r="T32" s="1"/>
      <c r="U32" s="1"/>
      <c r="V32" s="1"/>
      <c r="W32" s="1"/>
      <c r="X32" s="1"/>
      <c r="Y32" s="1"/>
      <c r="Z32" s="1"/>
    </row>
    <row r="33" ht="14.25" customHeight="1">
      <c r="A33" s="1"/>
      <c r="B33" s="5"/>
      <c r="C33" s="5"/>
      <c r="D33" s="1"/>
      <c r="E33" s="1"/>
      <c r="F33" s="1"/>
      <c r="G33" s="1"/>
      <c r="H33" s="1"/>
      <c r="I33" s="1"/>
      <c r="J33" s="1"/>
      <c r="K33" s="6"/>
      <c r="L33" s="6"/>
      <c r="M33" s="1"/>
      <c r="N33" s="1"/>
      <c r="O33" s="1"/>
      <c r="P33" s="1"/>
      <c r="Q33" s="1"/>
      <c r="R33" s="1"/>
      <c r="S33" s="1"/>
      <c r="T33" s="1"/>
      <c r="U33" s="1"/>
      <c r="V33" s="1"/>
      <c r="W33" s="1"/>
      <c r="X33" s="1"/>
      <c r="Y33" s="1"/>
      <c r="Z33" s="1"/>
    </row>
    <row r="34" ht="14.25" customHeight="1">
      <c r="A34" s="1"/>
      <c r="B34" s="5"/>
      <c r="C34" s="5"/>
      <c r="D34" s="1"/>
      <c r="E34" s="1"/>
      <c r="F34" s="1"/>
      <c r="G34" s="1"/>
      <c r="H34" s="1"/>
      <c r="I34" s="1"/>
      <c r="J34" s="1"/>
      <c r="K34" s="6"/>
      <c r="L34" s="6"/>
      <c r="M34" s="1"/>
      <c r="N34" s="1"/>
      <c r="O34" s="1"/>
      <c r="P34" s="1"/>
      <c r="Q34" s="1"/>
      <c r="R34" s="1"/>
      <c r="S34" s="1"/>
      <c r="T34" s="1"/>
      <c r="U34" s="1"/>
      <c r="V34" s="1"/>
      <c r="W34" s="1"/>
      <c r="X34" s="1"/>
      <c r="Y34" s="1"/>
      <c r="Z34" s="1"/>
    </row>
    <row r="35" ht="16.5" customHeight="1">
      <c r="A35" s="1"/>
      <c r="B35" s="5"/>
      <c r="C35" s="5"/>
      <c r="D35" s="1"/>
      <c r="E35" s="15" t="s">
        <v>1</v>
      </c>
      <c r="F35" s="8"/>
      <c r="G35" s="8"/>
      <c r="H35" s="8"/>
      <c r="I35" s="9"/>
      <c r="J35" s="1"/>
      <c r="K35" s="6"/>
      <c r="L35" s="6"/>
      <c r="M35" s="1"/>
      <c r="N35" s="1"/>
      <c r="O35" s="1"/>
      <c r="P35" s="1"/>
      <c r="Q35" s="1"/>
      <c r="R35" s="1"/>
      <c r="S35" s="1"/>
      <c r="T35" s="1"/>
      <c r="U35" s="1"/>
      <c r="V35" s="1"/>
      <c r="W35" s="1"/>
      <c r="X35" s="1"/>
      <c r="Y35" s="1"/>
      <c r="Z35" s="1"/>
    </row>
    <row r="36" ht="16.5" customHeight="1">
      <c r="A36" s="1"/>
      <c r="B36" s="5"/>
      <c r="C36" s="5"/>
      <c r="D36" s="1"/>
      <c r="E36" s="10"/>
      <c r="I36" s="11"/>
      <c r="J36" s="1"/>
      <c r="K36" s="6"/>
      <c r="L36" s="6"/>
      <c r="M36" s="1"/>
      <c r="N36" s="1"/>
      <c r="O36" s="1"/>
      <c r="P36" s="1"/>
      <c r="Q36" s="1"/>
      <c r="R36" s="1"/>
      <c r="S36" s="1"/>
      <c r="T36" s="1"/>
      <c r="U36" s="1"/>
      <c r="V36" s="1"/>
      <c r="W36" s="1"/>
      <c r="X36" s="1"/>
      <c r="Y36" s="1"/>
      <c r="Z36" s="1"/>
    </row>
    <row r="37" ht="16.5" customHeight="1">
      <c r="A37" s="1"/>
      <c r="B37" s="5"/>
      <c r="C37" s="5"/>
      <c r="D37" s="1"/>
      <c r="E37" s="10"/>
      <c r="I37" s="11"/>
      <c r="J37" s="1"/>
      <c r="K37" s="6"/>
      <c r="L37" s="6"/>
      <c r="M37" s="1"/>
      <c r="N37" s="1"/>
      <c r="O37" s="1"/>
      <c r="P37" s="1"/>
      <c r="Q37" s="1"/>
      <c r="R37" s="1"/>
      <c r="S37" s="1"/>
      <c r="T37" s="1"/>
      <c r="U37" s="1"/>
      <c r="V37" s="1"/>
      <c r="W37" s="1"/>
      <c r="X37" s="1"/>
      <c r="Y37" s="1"/>
      <c r="Z37" s="1"/>
    </row>
    <row r="38" ht="16.5" customHeight="1">
      <c r="A38" s="1"/>
      <c r="B38" s="5"/>
      <c r="C38" s="5"/>
      <c r="D38" s="1"/>
      <c r="E38" s="10"/>
      <c r="I38" s="11"/>
      <c r="J38" s="1"/>
      <c r="K38" s="6"/>
      <c r="L38" s="6"/>
      <c r="M38" s="1"/>
      <c r="N38" s="1"/>
      <c r="O38" s="1"/>
      <c r="P38" s="1"/>
      <c r="Q38" s="1"/>
      <c r="R38" s="1"/>
      <c r="S38" s="1"/>
      <c r="T38" s="1"/>
      <c r="U38" s="1"/>
      <c r="V38" s="1"/>
      <c r="W38" s="1"/>
      <c r="X38" s="1"/>
      <c r="Y38" s="1"/>
      <c r="Z38" s="1"/>
    </row>
    <row r="39" ht="16.5" customHeight="1">
      <c r="A39" s="1"/>
      <c r="B39" s="5"/>
      <c r="C39" s="5"/>
      <c r="D39" s="1"/>
      <c r="E39" s="12"/>
      <c r="F39" s="13"/>
      <c r="G39" s="13"/>
      <c r="H39" s="13"/>
      <c r="I39" s="14"/>
      <c r="J39" s="1"/>
      <c r="K39" s="6"/>
      <c r="L39" s="6"/>
      <c r="M39" s="1"/>
      <c r="N39" s="1"/>
      <c r="O39" s="1"/>
      <c r="P39" s="1"/>
      <c r="Q39" s="1"/>
      <c r="R39" s="1"/>
      <c r="S39" s="1"/>
      <c r="T39" s="1"/>
      <c r="U39" s="1"/>
      <c r="V39" s="1"/>
      <c r="W39" s="1"/>
      <c r="X39" s="1"/>
      <c r="Y39" s="1"/>
      <c r="Z39" s="1"/>
    </row>
    <row r="40" ht="16.5" customHeight="1">
      <c r="A40" s="1"/>
      <c r="B40" s="5"/>
      <c r="C40" s="5"/>
      <c r="D40" s="1"/>
      <c r="E40" s="1"/>
      <c r="F40" s="1"/>
      <c r="G40" s="1"/>
      <c r="H40" s="1"/>
      <c r="I40" s="1"/>
      <c r="J40" s="1"/>
      <c r="K40" s="6"/>
      <c r="L40" s="6"/>
      <c r="M40" s="1"/>
      <c r="N40" s="1"/>
      <c r="O40" s="1"/>
      <c r="P40" s="1"/>
      <c r="Q40" s="1"/>
      <c r="R40" s="1"/>
      <c r="S40" s="1"/>
      <c r="T40" s="1"/>
      <c r="U40" s="1"/>
      <c r="V40" s="1"/>
      <c r="W40" s="1"/>
      <c r="X40" s="1"/>
      <c r="Y40" s="1"/>
      <c r="Z40" s="1"/>
    </row>
    <row r="41" ht="14.25" customHeight="1">
      <c r="A41" s="1"/>
      <c r="B41" s="5"/>
      <c r="C41" s="5"/>
      <c r="D41" s="1"/>
      <c r="E41" s="1"/>
      <c r="F41" s="1"/>
      <c r="G41" s="1"/>
      <c r="H41" s="1"/>
      <c r="I41" s="1"/>
      <c r="J41" s="1"/>
      <c r="K41" s="6"/>
      <c r="L41" s="6"/>
      <c r="M41" s="1"/>
      <c r="N41" s="1"/>
      <c r="O41" s="1"/>
      <c r="P41" s="1"/>
      <c r="Q41" s="1"/>
      <c r="R41" s="1"/>
      <c r="S41" s="1"/>
      <c r="T41" s="1"/>
      <c r="U41" s="1"/>
      <c r="V41" s="1"/>
      <c r="W41" s="1"/>
      <c r="X41" s="1"/>
      <c r="Y41" s="1"/>
      <c r="Z41" s="1"/>
    </row>
    <row r="42" ht="14.25" customHeight="1">
      <c r="A42" s="1"/>
      <c r="B42" s="5"/>
      <c r="C42" s="5"/>
      <c r="D42" s="1"/>
      <c r="E42" s="1"/>
      <c r="F42" s="1"/>
      <c r="G42" s="1"/>
      <c r="H42" s="1"/>
      <c r="I42" s="1"/>
      <c r="J42" s="1"/>
      <c r="K42" s="6"/>
      <c r="L42" s="6"/>
      <c r="M42" s="1"/>
      <c r="N42" s="1"/>
      <c r="O42" s="1"/>
      <c r="P42" s="1"/>
      <c r="Q42" s="1"/>
      <c r="R42" s="1"/>
      <c r="S42" s="1"/>
      <c r="T42" s="1"/>
      <c r="U42" s="1"/>
      <c r="V42" s="1"/>
      <c r="W42" s="1"/>
      <c r="X42" s="1"/>
      <c r="Y42" s="1"/>
      <c r="Z42" s="1"/>
    </row>
    <row r="43" ht="14.25" customHeight="1">
      <c r="A43" s="1"/>
      <c r="B43" s="5"/>
      <c r="C43" s="16"/>
      <c r="D43" s="17"/>
      <c r="E43" s="17"/>
      <c r="F43" s="17"/>
      <c r="G43" s="17"/>
      <c r="H43" s="17"/>
      <c r="I43" s="17"/>
      <c r="J43" s="17"/>
      <c r="K43" s="18"/>
      <c r="L43" s="6"/>
      <c r="M43" s="1"/>
      <c r="N43" s="1"/>
      <c r="O43" s="1"/>
      <c r="P43" s="1"/>
      <c r="Q43" s="1"/>
      <c r="R43" s="1"/>
      <c r="S43" s="1"/>
      <c r="T43" s="1"/>
      <c r="U43" s="1"/>
      <c r="V43" s="1"/>
      <c r="W43" s="1"/>
      <c r="X43" s="1"/>
      <c r="Y43" s="1"/>
      <c r="Z43" s="1"/>
    </row>
    <row r="44" ht="14.25" customHeight="1">
      <c r="A44" s="1"/>
      <c r="B44" s="16"/>
      <c r="C44" s="17"/>
      <c r="D44" s="17"/>
      <c r="E44" s="17"/>
      <c r="F44" s="17"/>
      <c r="G44" s="17"/>
      <c r="H44" s="17"/>
      <c r="I44" s="17"/>
      <c r="J44" s="17"/>
      <c r="K44" s="17"/>
      <c r="L44" s="18"/>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4.2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4.2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4.2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4.2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4.2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4.2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4.2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4.2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4.2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4.2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4.2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4.2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mergeCells count="2">
    <mergeCell ref="E6:I10"/>
    <mergeCell ref="E35:I39"/>
  </mergeCells>
  <printOptions/>
  <pageMargins bottom="0.75" footer="0.0" header="0.0" left="0.7" right="0.7" top="0.75"/>
  <pageSetup orientation="portrait"/>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 width="11.57"/>
    <col customWidth="1" min="3" max="3" width="16.14"/>
    <col customWidth="1" min="4" max="4" width="12.0"/>
    <col customWidth="1" hidden="1" min="5" max="5" width="4.86"/>
    <col customWidth="1" min="6" max="6" width="10.57"/>
    <col customWidth="1" min="7" max="11" width="10.71"/>
    <col customWidth="1" min="12" max="12" width="5.43"/>
    <col customWidth="1" min="13" max="26" width="10.71"/>
  </cols>
  <sheetData>
    <row r="1" ht="14.25" customHeight="1">
      <c r="A1" s="1"/>
      <c r="B1" s="1"/>
      <c r="C1" s="1"/>
      <c r="D1" s="1"/>
      <c r="E1" s="1"/>
      <c r="F1" s="1"/>
      <c r="G1" s="1"/>
      <c r="H1" s="1"/>
      <c r="I1" s="1"/>
      <c r="J1" s="1"/>
      <c r="K1" s="1"/>
      <c r="L1" s="1"/>
      <c r="M1" s="1"/>
      <c r="N1" s="1"/>
      <c r="O1" s="1"/>
      <c r="P1" s="1"/>
      <c r="Q1" s="1"/>
      <c r="R1" s="1"/>
      <c r="S1" s="1"/>
      <c r="T1" s="1"/>
      <c r="U1" s="1"/>
      <c r="V1" s="1"/>
      <c r="W1" s="1"/>
      <c r="X1" s="1"/>
      <c r="Y1" s="1"/>
      <c r="Z1" s="1"/>
    </row>
    <row r="2" ht="14.25" customHeight="1">
      <c r="A2" s="1"/>
      <c r="B2" s="19"/>
      <c r="C2" s="19"/>
      <c r="D2" s="19"/>
      <c r="E2" s="1"/>
      <c r="F2" s="1"/>
      <c r="G2" s="1"/>
      <c r="H2" s="1"/>
      <c r="I2" s="1"/>
      <c r="J2" s="1"/>
      <c r="K2" s="1"/>
      <c r="L2" s="1"/>
      <c r="M2" s="1"/>
      <c r="N2" s="1"/>
      <c r="O2" s="1"/>
      <c r="P2" s="1"/>
      <c r="Q2" s="1"/>
      <c r="R2" s="1"/>
      <c r="S2" s="1"/>
      <c r="T2" s="1"/>
      <c r="U2" s="1"/>
      <c r="V2" s="1"/>
      <c r="W2" s="1"/>
      <c r="X2" s="1"/>
      <c r="Y2" s="1"/>
      <c r="Z2" s="1"/>
    </row>
    <row r="3" ht="14.25" customHeight="1">
      <c r="A3" s="1"/>
      <c r="B3" s="19"/>
      <c r="C3" s="19"/>
      <c r="D3" s="19"/>
      <c r="E3" s="1"/>
      <c r="F3" s="1"/>
      <c r="G3" s="1"/>
      <c r="H3" s="1"/>
      <c r="I3" s="1"/>
      <c r="J3" s="1"/>
      <c r="K3" s="1"/>
      <c r="L3" s="1"/>
      <c r="M3" s="1"/>
      <c r="N3" s="1"/>
      <c r="O3" s="1"/>
      <c r="P3" s="1"/>
      <c r="Q3" s="1"/>
      <c r="R3" s="1"/>
      <c r="S3" s="1"/>
      <c r="T3" s="1"/>
      <c r="U3" s="1"/>
      <c r="V3" s="1"/>
      <c r="W3" s="1"/>
      <c r="X3" s="1"/>
      <c r="Y3" s="1"/>
      <c r="Z3" s="1"/>
    </row>
    <row r="4" ht="14.25" customHeight="1">
      <c r="A4" s="1"/>
      <c r="B4" s="19"/>
      <c r="C4" s="19"/>
      <c r="D4" s="19"/>
      <c r="E4" s="1"/>
      <c r="F4" s="1"/>
      <c r="G4" s="1"/>
      <c r="H4" s="1"/>
      <c r="I4" s="1"/>
      <c r="J4" s="1"/>
      <c r="K4" s="1"/>
      <c r="L4" s="1"/>
      <c r="M4" s="1"/>
      <c r="N4" s="1"/>
      <c r="O4" s="1"/>
      <c r="P4" s="1"/>
      <c r="Q4" s="1"/>
      <c r="R4" s="1"/>
      <c r="S4" s="1"/>
      <c r="T4" s="1"/>
      <c r="U4" s="1"/>
      <c r="V4" s="1"/>
      <c r="W4" s="1"/>
      <c r="X4" s="1"/>
      <c r="Y4" s="1"/>
      <c r="Z4" s="1"/>
    </row>
    <row r="5" ht="14.25" customHeight="1">
      <c r="A5" s="1"/>
      <c r="B5" s="1"/>
      <c r="C5" s="1"/>
      <c r="D5" s="19"/>
      <c r="E5" s="19"/>
      <c r="F5" s="19"/>
      <c r="G5" s="1"/>
      <c r="H5" s="1"/>
      <c r="I5" s="1"/>
      <c r="J5" s="1"/>
      <c r="K5" s="1"/>
      <c r="L5" s="1"/>
      <c r="M5" s="1"/>
      <c r="N5" s="1"/>
      <c r="O5" s="1"/>
      <c r="P5" s="20"/>
      <c r="Q5" s="1"/>
      <c r="R5" s="1"/>
      <c r="S5" s="1"/>
      <c r="T5" s="1"/>
      <c r="U5" s="1"/>
      <c r="V5" s="1"/>
      <c r="W5" s="1"/>
      <c r="X5" s="1"/>
      <c r="Y5" s="1"/>
      <c r="Z5" s="1"/>
    </row>
    <row r="6" ht="14.25" customHeight="1">
      <c r="A6" s="1"/>
      <c r="B6" s="21" t="s">
        <v>2</v>
      </c>
      <c r="C6" s="22" t="s">
        <v>3</v>
      </c>
      <c r="D6" s="23" t="str">
        <f>COUNTIF('Plan de prueba'!M2:M323,Control!C6)</f>
        <v>#REF!</v>
      </c>
      <c r="E6" s="24"/>
      <c r="F6" s="24"/>
      <c r="G6" s="1"/>
      <c r="H6" s="1"/>
      <c r="I6" s="1"/>
      <c r="J6" s="1"/>
      <c r="K6" s="1"/>
      <c r="L6" s="1"/>
      <c r="M6" s="1"/>
      <c r="N6" s="1"/>
      <c r="O6" s="1"/>
      <c r="P6" s="20"/>
      <c r="Q6" s="1"/>
      <c r="R6" s="1"/>
      <c r="S6" s="1"/>
      <c r="T6" s="1"/>
      <c r="U6" s="1"/>
      <c r="V6" s="1"/>
      <c r="W6" s="1"/>
      <c r="X6" s="1"/>
      <c r="Y6" s="1"/>
      <c r="Z6" s="1"/>
    </row>
    <row r="7" ht="14.25" customHeight="1">
      <c r="A7" s="1"/>
      <c r="B7" s="25"/>
      <c r="C7" s="22" t="s">
        <v>4</v>
      </c>
      <c r="D7" s="23" t="str">
        <f>COUNTIF('Plan de prueba'!M2:M323,Control!C7)</f>
        <v>#REF!</v>
      </c>
      <c r="E7" s="24"/>
      <c r="F7" s="24"/>
      <c r="G7" s="1"/>
      <c r="H7" s="1"/>
      <c r="I7" s="1"/>
      <c r="J7" s="1"/>
      <c r="K7" s="1"/>
      <c r="L7" s="1"/>
      <c r="M7" s="1"/>
      <c r="N7" s="1"/>
      <c r="O7" s="1"/>
      <c r="P7" s="1"/>
      <c r="Q7" s="1"/>
      <c r="R7" s="1"/>
      <c r="S7" s="1"/>
      <c r="T7" s="1"/>
      <c r="U7" s="1"/>
      <c r="V7" s="1"/>
      <c r="W7" s="1"/>
      <c r="X7" s="1"/>
      <c r="Y7" s="1"/>
      <c r="Z7" s="1"/>
    </row>
    <row r="8" ht="14.25" customHeight="1">
      <c r="A8" s="1"/>
      <c r="B8" s="25"/>
      <c r="C8" s="22" t="s">
        <v>5</v>
      </c>
      <c r="D8" s="23" t="str">
        <f>COUNTIF('Plan de prueba'!M2:M323,C8)</f>
        <v>#REF!</v>
      </c>
      <c r="E8" s="24"/>
      <c r="F8" s="24"/>
      <c r="G8" s="1"/>
      <c r="H8" s="1"/>
      <c r="I8" s="1"/>
      <c r="J8" s="1"/>
      <c r="K8" s="1"/>
      <c r="L8" s="1"/>
      <c r="M8" s="1"/>
      <c r="N8" s="1"/>
      <c r="O8" s="1"/>
      <c r="P8" s="1"/>
      <c r="Q8" s="1"/>
      <c r="R8" s="1"/>
      <c r="S8" s="1"/>
      <c r="T8" s="1"/>
      <c r="U8" s="1"/>
      <c r="V8" s="1"/>
      <c r="W8" s="1"/>
      <c r="X8" s="1"/>
      <c r="Y8" s="1"/>
      <c r="Z8" s="1"/>
    </row>
    <row r="9" ht="14.25" customHeight="1">
      <c r="A9" s="1"/>
      <c r="B9" s="25"/>
      <c r="C9" s="22" t="s">
        <v>6</v>
      </c>
      <c r="D9" s="23" t="str">
        <f>COUNTIF('Plan de prueba'!M2:M323,C9)</f>
        <v>#REF!</v>
      </c>
      <c r="E9" s="24"/>
      <c r="F9" s="24"/>
      <c r="G9" s="1"/>
      <c r="H9" s="1"/>
      <c r="I9" s="1"/>
      <c r="J9" s="1"/>
      <c r="K9" s="1"/>
      <c r="L9" s="1"/>
      <c r="M9" s="1"/>
      <c r="N9" s="1"/>
      <c r="O9" s="20"/>
      <c r="P9" s="1"/>
      <c r="Q9" s="1"/>
      <c r="R9" s="1"/>
      <c r="S9" s="1"/>
      <c r="T9" s="1"/>
      <c r="U9" s="1"/>
      <c r="V9" s="1"/>
      <c r="W9" s="1"/>
      <c r="X9" s="1"/>
      <c r="Y9" s="1"/>
      <c r="Z9" s="1"/>
    </row>
    <row r="10" ht="14.25" customHeight="1">
      <c r="A10" s="1"/>
      <c r="B10" s="26"/>
      <c r="C10" s="22" t="s">
        <v>7</v>
      </c>
      <c r="D10" s="23" t="str">
        <f>COUNTIF('Plan de prueba'!M2:M323,C10)</f>
        <v>#REF!</v>
      </c>
      <c r="E10" s="24"/>
      <c r="F10" s="24"/>
      <c r="G10" s="1"/>
      <c r="H10" s="1"/>
      <c r="I10" s="1"/>
      <c r="J10" s="1"/>
      <c r="K10" s="1"/>
      <c r="L10" s="1"/>
      <c r="M10" s="1"/>
      <c r="N10" s="1"/>
      <c r="O10" s="1"/>
      <c r="P10" s="1"/>
      <c r="Q10" s="1"/>
      <c r="R10" s="1"/>
      <c r="S10" s="1"/>
      <c r="T10" s="1"/>
      <c r="U10" s="1"/>
      <c r="V10" s="1"/>
      <c r="W10" s="1"/>
      <c r="X10" s="1"/>
      <c r="Y10" s="1"/>
      <c r="Z10" s="1"/>
    </row>
    <row r="11" ht="14.25" customHeight="1">
      <c r="A11" s="1"/>
      <c r="B11" s="27"/>
      <c r="C11" s="27"/>
      <c r="D11" s="24"/>
      <c r="E11" s="1"/>
      <c r="F11" s="1"/>
      <c r="G11" s="1"/>
      <c r="H11" s="1"/>
      <c r="I11" s="1"/>
      <c r="J11" s="1"/>
      <c r="K11" s="1"/>
      <c r="L11" s="1"/>
      <c r="M11" s="1"/>
      <c r="N11" s="1"/>
      <c r="O11" s="1"/>
      <c r="P11" s="1"/>
      <c r="Q11" s="1"/>
      <c r="R11" s="1"/>
      <c r="S11" s="1"/>
      <c r="T11" s="1"/>
      <c r="U11" s="1"/>
      <c r="V11" s="1"/>
      <c r="W11" s="1"/>
      <c r="X11" s="1"/>
      <c r="Y11" s="1"/>
      <c r="Z11" s="1"/>
    </row>
    <row r="12" ht="14.25" customHeight="1">
      <c r="A12" s="1"/>
      <c r="B12" s="28"/>
      <c r="C12" s="29"/>
      <c r="D12" s="30"/>
      <c r="E12" s="1"/>
      <c r="F12" s="1"/>
      <c r="G12" s="1"/>
      <c r="H12" s="1"/>
      <c r="I12" s="1"/>
      <c r="J12" s="1"/>
      <c r="K12" s="1"/>
      <c r="L12" s="1"/>
      <c r="M12" s="1"/>
      <c r="N12" s="1"/>
      <c r="O12" s="1"/>
      <c r="P12" s="1"/>
      <c r="Q12" s="1"/>
      <c r="R12" s="1"/>
      <c r="S12" s="1"/>
      <c r="T12" s="1"/>
      <c r="U12" s="1"/>
      <c r="V12" s="1"/>
      <c r="W12" s="1"/>
      <c r="X12" s="1"/>
      <c r="Y12" s="1"/>
      <c r="Z12" s="1"/>
    </row>
    <row r="13" ht="14.25" customHeight="1">
      <c r="A13" s="1"/>
      <c r="B13" s="31" t="s">
        <v>8</v>
      </c>
      <c r="C13" s="32"/>
      <c r="D13" s="33" t="str">
        <f>COUNTIF('Plan de prueba'!A2:A223,"*")</f>
        <v>#REF!</v>
      </c>
      <c r="E13" s="1"/>
      <c r="F13" s="1"/>
      <c r="G13" s="1"/>
      <c r="H13" s="1"/>
      <c r="I13" s="1"/>
      <c r="J13" s="1"/>
      <c r="K13" s="1"/>
      <c r="L13" s="1"/>
      <c r="M13" s="1"/>
      <c r="N13" s="1"/>
      <c r="O13" s="1"/>
      <c r="P13" s="1"/>
      <c r="Q13" s="1"/>
      <c r="R13" s="1"/>
      <c r="S13" s="1"/>
      <c r="T13" s="1"/>
      <c r="U13" s="1"/>
      <c r="V13" s="1"/>
      <c r="W13" s="1"/>
      <c r="X13" s="1"/>
      <c r="Y13" s="1"/>
      <c r="Z13" s="1"/>
    </row>
    <row r="14" ht="14.25" customHeight="1">
      <c r="A14" s="1"/>
      <c r="B14" s="34" t="s">
        <v>9</v>
      </c>
      <c r="C14" s="35"/>
      <c r="D14" s="36" t="str">
        <f>SUM(D6+D7+D9+D10)/D13</f>
        <v>#REF!</v>
      </c>
      <c r="E14" s="1"/>
      <c r="F14" s="1"/>
      <c r="G14" s="1"/>
      <c r="H14" s="1"/>
      <c r="I14" s="1"/>
      <c r="J14" s="1"/>
      <c r="K14" s="1"/>
      <c r="L14" s="1"/>
      <c r="M14" s="1"/>
      <c r="N14" s="1"/>
      <c r="O14" s="1"/>
      <c r="P14" s="1"/>
      <c r="Q14" s="1"/>
      <c r="R14" s="1"/>
      <c r="S14" s="1"/>
      <c r="T14" s="1"/>
      <c r="U14" s="1"/>
      <c r="V14" s="1"/>
      <c r="W14" s="1"/>
      <c r="X14" s="1"/>
      <c r="Y14" s="1"/>
      <c r="Z14" s="1"/>
    </row>
    <row r="15" ht="14.25" customHeight="1">
      <c r="A15" s="1"/>
      <c r="B15" s="37"/>
      <c r="C15" s="38"/>
      <c r="D15" s="26"/>
      <c r="E15" s="1"/>
      <c r="F15" s="1"/>
      <c r="G15" s="1"/>
      <c r="H15" s="1"/>
      <c r="I15" s="1"/>
      <c r="J15" s="1"/>
      <c r="K15" s="1"/>
      <c r="L15" s="1"/>
      <c r="M15" s="1"/>
      <c r="N15" s="1"/>
      <c r="O15" s="1"/>
      <c r="P15" s="1"/>
      <c r="Q15" s="1"/>
      <c r="R15" s="1"/>
      <c r="S15" s="1"/>
      <c r="T15" s="1"/>
      <c r="U15" s="1"/>
      <c r="V15" s="1"/>
      <c r="W15" s="1"/>
      <c r="X15" s="1"/>
      <c r="Y15" s="1"/>
      <c r="Z15" s="1"/>
    </row>
    <row r="16" ht="14.25" customHeight="1">
      <c r="A16" s="1"/>
      <c r="B16" s="1"/>
      <c r="C16" s="1"/>
      <c r="D16" s="1"/>
      <c r="E16" s="1"/>
      <c r="F16" s="1"/>
      <c r="G16" s="1"/>
      <c r="H16" s="1"/>
      <c r="I16" s="1"/>
      <c r="J16" s="1"/>
      <c r="K16" s="1"/>
      <c r="L16" s="1"/>
      <c r="M16" s="1"/>
      <c r="N16" s="1"/>
      <c r="O16" s="1"/>
      <c r="P16" s="1"/>
      <c r="Q16" s="1"/>
      <c r="R16" s="1"/>
      <c r="S16" s="1"/>
      <c r="T16" s="1"/>
      <c r="U16" s="1"/>
      <c r="V16" s="1"/>
      <c r="W16" s="1"/>
      <c r="X16" s="1"/>
      <c r="Y16" s="1"/>
      <c r="Z16" s="1"/>
    </row>
    <row r="17" ht="14.25" customHeight="1">
      <c r="A17" s="1"/>
      <c r="B17" s="1"/>
      <c r="C17" s="1"/>
      <c r="D17" s="1"/>
      <c r="E17" s="1"/>
      <c r="F17" s="1"/>
      <c r="G17" s="1"/>
      <c r="H17" s="1"/>
      <c r="I17" s="1"/>
      <c r="J17" s="1"/>
      <c r="K17" s="1"/>
      <c r="L17" s="1"/>
      <c r="M17" s="1"/>
      <c r="N17" s="1"/>
      <c r="O17" s="1"/>
      <c r="P17" s="1"/>
      <c r="Q17" s="1"/>
      <c r="R17" s="1"/>
      <c r="S17" s="1"/>
      <c r="T17" s="1"/>
      <c r="U17" s="1"/>
      <c r="V17" s="1"/>
      <c r="W17" s="1"/>
      <c r="X17" s="1"/>
      <c r="Y17" s="1"/>
      <c r="Z17" s="1"/>
    </row>
    <row r="18" ht="14.25" customHeight="1">
      <c r="A18" s="1"/>
      <c r="B18" s="39" t="s">
        <v>10</v>
      </c>
      <c r="C18" s="40"/>
      <c r="D18" s="41" t="s">
        <v>11</v>
      </c>
      <c r="E18" s="32"/>
      <c r="F18" s="33" t="str">
        <f t="shared" ref="F18:F20" si="1">COUNTIF('Plan de prueba'!$O$2:$O$74,D18)</f>
        <v>#REF!</v>
      </c>
      <c r="G18" s="1"/>
      <c r="H18" s="1"/>
      <c r="I18" s="1"/>
      <c r="J18" s="1"/>
      <c r="K18" s="1"/>
      <c r="L18" s="1"/>
      <c r="M18" s="1"/>
      <c r="N18" s="1"/>
      <c r="O18" s="1"/>
      <c r="P18" s="1"/>
      <c r="Q18" s="1"/>
      <c r="R18" s="1"/>
      <c r="S18" s="1"/>
      <c r="T18" s="1"/>
      <c r="U18" s="1"/>
      <c r="V18" s="1"/>
      <c r="W18" s="1"/>
      <c r="X18" s="1"/>
      <c r="Y18" s="1"/>
      <c r="Z18" s="1"/>
    </row>
    <row r="19" ht="14.25" customHeight="1">
      <c r="A19" s="1"/>
      <c r="B19" s="42"/>
      <c r="C19" s="11"/>
      <c r="D19" s="41" t="s">
        <v>12</v>
      </c>
      <c r="E19" s="32"/>
      <c r="F19" s="33" t="str">
        <f t="shared" si="1"/>
        <v>#REF!</v>
      </c>
      <c r="G19" s="1"/>
      <c r="H19" s="1"/>
      <c r="I19" s="1"/>
      <c r="J19" s="1"/>
      <c r="K19" s="1"/>
      <c r="L19" s="1"/>
      <c r="M19" s="1"/>
      <c r="N19" s="1"/>
      <c r="O19" s="1"/>
      <c r="P19" s="1"/>
      <c r="Q19" s="1"/>
      <c r="R19" s="1"/>
      <c r="S19" s="1"/>
      <c r="T19" s="1"/>
      <c r="U19" s="1"/>
      <c r="V19" s="1"/>
      <c r="W19" s="1"/>
      <c r="X19" s="1"/>
      <c r="Y19" s="1"/>
      <c r="Z19" s="1"/>
    </row>
    <row r="20" ht="14.25" customHeight="1">
      <c r="A20" s="1"/>
      <c r="B20" s="42"/>
      <c r="C20" s="11"/>
      <c r="D20" s="41" t="s">
        <v>13</v>
      </c>
      <c r="E20" s="32"/>
      <c r="F20" s="33" t="str">
        <f t="shared" si="1"/>
        <v>#REF!</v>
      </c>
      <c r="G20" s="1"/>
      <c r="H20" s="1"/>
      <c r="I20" s="1"/>
      <c r="J20" s="1"/>
      <c r="K20" s="1"/>
      <c r="L20" s="1"/>
      <c r="M20" s="1"/>
      <c r="N20" s="1"/>
      <c r="O20" s="1"/>
      <c r="P20" s="1"/>
      <c r="Q20" s="1"/>
      <c r="R20" s="1"/>
      <c r="S20" s="1"/>
      <c r="T20" s="1"/>
      <c r="U20" s="1"/>
      <c r="V20" s="1"/>
      <c r="W20" s="1"/>
      <c r="X20" s="1"/>
      <c r="Y20" s="1"/>
      <c r="Z20" s="1"/>
    </row>
    <row r="21" ht="14.25" customHeight="1">
      <c r="A21" s="1"/>
      <c r="B21" s="37"/>
      <c r="C21" s="43"/>
      <c r="D21" s="41"/>
      <c r="E21" s="32"/>
      <c r="F21" s="44"/>
      <c r="G21" s="1"/>
      <c r="H21" s="1"/>
      <c r="I21" s="1"/>
      <c r="J21" s="1"/>
      <c r="K21" s="1"/>
      <c r="L21" s="1"/>
      <c r="M21" s="1"/>
      <c r="N21" s="1"/>
      <c r="O21" s="1"/>
      <c r="P21" s="1"/>
      <c r="Q21" s="1"/>
      <c r="R21" s="1"/>
      <c r="S21" s="1"/>
      <c r="T21" s="1"/>
      <c r="U21" s="1"/>
      <c r="V21" s="1"/>
      <c r="W21" s="1"/>
      <c r="X21" s="1"/>
      <c r="Y21" s="1"/>
      <c r="Z21" s="1"/>
    </row>
    <row r="22" ht="14.25" customHeight="1">
      <c r="A22" s="1"/>
      <c r="B22" s="1"/>
      <c r="C22" s="1"/>
      <c r="D22" s="1"/>
      <c r="E22" s="1"/>
      <c r="F22" s="1"/>
      <c r="G22" s="1"/>
      <c r="H22" s="1"/>
      <c r="I22" s="1"/>
      <c r="J22" s="1"/>
      <c r="K22" s="1"/>
      <c r="L22" s="1"/>
      <c r="M22" s="1"/>
      <c r="N22" s="1"/>
      <c r="O22" s="1"/>
      <c r="P22" s="1"/>
      <c r="Q22" s="1"/>
      <c r="R22" s="1"/>
      <c r="S22" s="1"/>
      <c r="T22" s="1"/>
      <c r="U22" s="1"/>
      <c r="V22" s="1"/>
      <c r="W22" s="1"/>
      <c r="X22" s="1"/>
      <c r="Y22" s="1"/>
      <c r="Z22" s="1"/>
    </row>
    <row r="23" ht="14.25" customHeight="1">
      <c r="A23" s="1"/>
      <c r="B23" s="1"/>
      <c r="C23" s="1"/>
      <c r="D23" s="45" t="s">
        <v>14</v>
      </c>
      <c r="E23" s="46"/>
      <c r="F23" s="47" t="str">
        <f>SUM(F18:F21)</f>
        <v>#REF!</v>
      </c>
      <c r="G23" s="1"/>
      <c r="H23" s="1"/>
      <c r="I23" s="1"/>
      <c r="J23" s="1"/>
      <c r="K23" s="1"/>
      <c r="L23" s="1"/>
      <c r="M23" s="1"/>
      <c r="N23" s="1"/>
      <c r="O23" s="1"/>
      <c r="P23" s="1"/>
      <c r="Q23" s="1"/>
      <c r="R23" s="1"/>
      <c r="S23" s="1"/>
      <c r="T23" s="1"/>
      <c r="U23" s="1"/>
      <c r="V23" s="1"/>
      <c r="W23" s="1"/>
      <c r="X23" s="1"/>
      <c r="Y23" s="1"/>
      <c r="Z23" s="1"/>
    </row>
    <row r="24" ht="14.25" customHeight="1">
      <c r="A24" s="1"/>
      <c r="B24" s="1"/>
      <c r="C24" s="1"/>
      <c r="D24" s="1"/>
      <c r="E24" s="1"/>
      <c r="F24" s="1"/>
      <c r="G24" s="1"/>
      <c r="H24" s="1"/>
      <c r="I24" s="1"/>
      <c r="J24" s="1"/>
      <c r="K24" s="1"/>
      <c r="L24" s="1"/>
      <c r="M24" s="1"/>
      <c r="N24" s="1"/>
      <c r="O24" s="1"/>
      <c r="P24" s="1"/>
      <c r="Q24" s="1"/>
      <c r="R24" s="1"/>
      <c r="S24" s="1"/>
      <c r="T24" s="1"/>
      <c r="U24" s="1"/>
      <c r="V24" s="1"/>
      <c r="W24" s="1"/>
      <c r="X24" s="1"/>
      <c r="Y24" s="1"/>
      <c r="Z24" s="1"/>
    </row>
    <row r="25" ht="14.25" customHeight="1">
      <c r="A25" s="1"/>
      <c r="B25" s="1"/>
      <c r="C25" s="1"/>
      <c r="D25" s="1"/>
      <c r="E25" s="1"/>
      <c r="F25" s="1"/>
      <c r="G25" s="1"/>
      <c r="H25" s="1"/>
      <c r="I25" s="1"/>
      <c r="J25" s="1"/>
      <c r="K25" s="1"/>
      <c r="L25" s="1"/>
      <c r="M25" s="1"/>
      <c r="N25" s="1"/>
      <c r="O25" s="1"/>
      <c r="P25" s="1"/>
      <c r="Q25" s="1"/>
      <c r="R25" s="1"/>
      <c r="S25" s="1"/>
      <c r="T25" s="1"/>
      <c r="U25" s="1"/>
      <c r="V25" s="1"/>
      <c r="W25" s="1"/>
      <c r="X25" s="1"/>
      <c r="Y25" s="1"/>
      <c r="Z25" s="1"/>
    </row>
    <row r="26" ht="14.25" customHeight="1">
      <c r="A26" s="1"/>
      <c r="B26" s="1"/>
      <c r="C26" s="48"/>
      <c r="D26" s="1"/>
      <c r="E26" s="1"/>
      <c r="F26" s="1"/>
      <c r="G26" s="1"/>
      <c r="H26" s="1"/>
      <c r="I26" s="1"/>
      <c r="J26" s="1"/>
      <c r="K26" s="1"/>
      <c r="L26" s="1"/>
      <c r="M26" s="1"/>
      <c r="N26" s="1"/>
      <c r="O26" s="1"/>
      <c r="P26" s="1"/>
      <c r="Q26" s="1"/>
      <c r="R26" s="1"/>
      <c r="S26" s="1"/>
      <c r="T26" s="1"/>
      <c r="U26" s="1"/>
      <c r="V26" s="1"/>
      <c r="W26" s="1"/>
      <c r="X26" s="1"/>
      <c r="Y26" s="1"/>
      <c r="Z26" s="1"/>
    </row>
    <row r="27" ht="14.25" customHeight="1">
      <c r="A27" s="1"/>
      <c r="B27" s="1"/>
      <c r="C27" s="1"/>
      <c r="D27" s="1"/>
      <c r="E27" s="1"/>
      <c r="F27" s="1"/>
      <c r="G27" s="1"/>
      <c r="H27" s="1"/>
      <c r="I27" s="1"/>
      <c r="J27" s="1"/>
      <c r="K27" s="1"/>
      <c r="L27" s="1"/>
      <c r="M27" s="1"/>
      <c r="N27" s="1"/>
      <c r="O27" s="1"/>
      <c r="P27" s="1"/>
      <c r="Q27" s="1"/>
      <c r="R27" s="1"/>
      <c r="S27" s="1"/>
      <c r="T27" s="1"/>
      <c r="U27" s="1"/>
      <c r="V27" s="1"/>
      <c r="W27" s="1"/>
      <c r="X27" s="1"/>
      <c r="Y27" s="1"/>
      <c r="Z27" s="1"/>
    </row>
    <row r="28" ht="14.25" customHeight="1">
      <c r="A28" s="1"/>
      <c r="B28" s="1"/>
      <c r="C28" s="1"/>
      <c r="D28" s="1"/>
      <c r="E28" s="1"/>
      <c r="F28" s="1"/>
      <c r="G28" s="1"/>
      <c r="H28" s="1"/>
      <c r="I28" s="1"/>
      <c r="J28" s="1"/>
      <c r="K28" s="1"/>
      <c r="L28" s="1"/>
      <c r="M28" s="1"/>
      <c r="N28" s="1"/>
      <c r="O28" s="1"/>
      <c r="P28" s="1"/>
      <c r="Q28" s="1"/>
      <c r="R28" s="1"/>
      <c r="S28" s="1"/>
      <c r="T28" s="1"/>
      <c r="U28" s="1"/>
      <c r="V28" s="1"/>
      <c r="W28" s="1"/>
      <c r="X28" s="1"/>
      <c r="Y28" s="1"/>
      <c r="Z28" s="1"/>
    </row>
    <row r="29" ht="14.25" customHeight="1">
      <c r="A29" s="1"/>
      <c r="B29" s="1"/>
      <c r="C29" s="1"/>
      <c r="D29" s="1"/>
      <c r="E29" s="1"/>
      <c r="F29" s="1"/>
      <c r="G29" s="1"/>
      <c r="H29" s="1"/>
      <c r="I29" s="1"/>
      <c r="J29" s="1"/>
      <c r="K29" s="1"/>
      <c r="L29" s="1"/>
      <c r="M29" s="1"/>
      <c r="N29" s="1"/>
      <c r="O29" s="1"/>
      <c r="P29" s="1"/>
      <c r="Q29" s="1"/>
      <c r="R29" s="1"/>
      <c r="S29" s="1"/>
      <c r="T29" s="1"/>
      <c r="U29" s="1"/>
      <c r="V29" s="1"/>
      <c r="W29" s="1"/>
      <c r="X29" s="1"/>
      <c r="Y29" s="1"/>
      <c r="Z29" s="1"/>
    </row>
    <row r="30" ht="14.25" customHeight="1">
      <c r="A30" s="1"/>
      <c r="B30" s="1"/>
      <c r="C30" s="1"/>
      <c r="D30" s="1"/>
      <c r="E30" s="1"/>
      <c r="F30" s="1"/>
      <c r="G30" s="1"/>
      <c r="H30" s="1"/>
      <c r="I30" s="1"/>
      <c r="J30" s="1"/>
      <c r="K30" s="1"/>
      <c r="L30" s="1"/>
      <c r="M30" s="1"/>
      <c r="N30" s="1"/>
      <c r="O30" s="1"/>
      <c r="P30" s="1"/>
      <c r="Q30" s="1"/>
      <c r="R30" s="1"/>
      <c r="S30" s="1"/>
      <c r="T30" s="1"/>
      <c r="U30" s="1"/>
      <c r="V30" s="1"/>
      <c r="W30" s="1"/>
      <c r="X30" s="1"/>
      <c r="Y30" s="1"/>
      <c r="Z30" s="1"/>
    </row>
    <row r="31" ht="14.2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4.25" customHeight="1">
      <c r="A32" s="1"/>
      <c r="B32" s="1"/>
      <c r="C32" s="1"/>
      <c r="D32" s="1"/>
      <c r="E32" s="1"/>
      <c r="F32" s="1"/>
      <c r="G32" s="1"/>
      <c r="H32" s="1"/>
      <c r="I32" s="1"/>
      <c r="J32" s="1"/>
      <c r="K32" s="1"/>
      <c r="L32" s="1"/>
      <c r="M32" s="1"/>
      <c r="N32" s="1"/>
      <c r="O32" s="1"/>
      <c r="P32" s="1"/>
      <c r="Q32" s="1"/>
      <c r="R32" s="1"/>
      <c r="S32" s="1"/>
      <c r="T32" s="1"/>
      <c r="U32" s="1"/>
      <c r="V32" s="1"/>
      <c r="W32" s="1"/>
      <c r="X32" s="1"/>
      <c r="Y32" s="1"/>
      <c r="Z32" s="1"/>
    </row>
    <row r="33" ht="14.25"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4.25" customHeight="1">
      <c r="A34" s="1"/>
      <c r="B34" s="1"/>
      <c r="C34" s="1"/>
      <c r="D34" s="1"/>
      <c r="E34" s="1"/>
      <c r="F34" s="1"/>
      <c r="G34" s="1"/>
      <c r="H34" s="1"/>
      <c r="I34" s="1"/>
      <c r="J34" s="1"/>
      <c r="K34" s="1"/>
      <c r="L34" s="1"/>
      <c r="M34" s="1"/>
      <c r="N34" s="1"/>
      <c r="O34" s="1"/>
      <c r="P34" s="1"/>
      <c r="Q34" s="1"/>
      <c r="R34" s="1"/>
      <c r="S34" s="1"/>
      <c r="T34" s="1"/>
      <c r="U34" s="1"/>
      <c r="V34" s="1"/>
      <c r="W34" s="1"/>
      <c r="X34" s="1"/>
      <c r="Y34" s="1"/>
      <c r="Z34" s="1"/>
    </row>
    <row r="35" ht="14.25" customHeight="1">
      <c r="A35" s="1"/>
      <c r="B35" s="1"/>
      <c r="C35" s="1"/>
      <c r="D35" s="1"/>
      <c r="E35" s="1"/>
      <c r="F35" s="1"/>
      <c r="G35" s="1"/>
      <c r="H35" s="1"/>
      <c r="I35" s="1"/>
      <c r="J35" s="1"/>
      <c r="K35" s="1"/>
      <c r="L35" s="1"/>
      <c r="M35" s="1"/>
      <c r="N35" s="1"/>
      <c r="O35" s="1"/>
      <c r="P35" s="1"/>
      <c r="Q35" s="1"/>
      <c r="R35" s="1"/>
      <c r="S35" s="1"/>
      <c r="T35" s="1"/>
      <c r="U35" s="1"/>
      <c r="V35" s="1"/>
      <c r="W35" s="1"/>
      <c r="X35" s="1"/>
      <c r="Y35" s="1"/>
      <c r="Z35" s="1"/>
    </row>
    <row r="36" ht="14.25" customHeight="1">
      <c r="A36" s="1"/>
      <c r="B36" s="1"/>
      <c r="C36" s="1"/>
      <c r="D36" s="1"/>
      <c r="E36" s="1"/>
      <c r="F36" s="1"/>
      <c r="G36" s="1"/>
      <c r="H36" s="1"/>
      <c r="I36" s="1"/>
      <c r="J36" s="1"/>
      <c r="K36" s="1"/>
      <c r="L36" s="1"/>
      <c r="M36" s="1"/>
      <c r="N36" s="1"/>
      <c r="O36" s="1"/>
      <c r="P36" s="1"/>
      <c r="Q36" s="1"/>
      <c r="R36" s="1"/>
      <c r="S36" s="1"/>
      <c r="T36" s="1"/>
      <c r="U36" s="1"/>
      <c r="V36" s="1"/>
      <c r="W36" s="1"/>
      <c r="X36" s="1"/>
      <c r="Y36" s="1"/>
      <c r="Z36" s="1"/>
    </row>
    <row r="37" ht="14.25" customHeight="1">
      <c r="A37" s="1"/>
      <c r="B37" s="1"/>
      <c r="C37" s="1"/>
      <c r="D37" s="1"/>
      <c r="E37" s="1"/>
      <c r="F37" s="1"/>
      <c r="G37" s="1"/>
      <c r="H37" s="1"/>
      <c r="I37" s="1"/>
      <c r="J37" s="1"/>
      <c r="K37" s="1"/>
      <c r="L37" s="1"/>
      <c r="M37" s="1"/>
      <c r="N37" s="1"/>
      <c r="O37" s="1"/>
      <c r="P37" s="1"/>
      <c r="Q37" s="1"/>
      <c r="R37" s="1"/>
      <c r="S37" s="1"/>
      <c r="T37" s="1"/>
      <c r="U37" s="1"/>
      <c r="V37" s="1"/>
      <c r="W37" s="1"/>
      <c r="X37" s="1"/>
      <c r="Y37" s="1"/>
      <c r="Z37" s="1"/>
    </row>
    <row r="38" ht="14.25" customHeight="1">
      <c r="A38" s="1"/>
      <c r="B38" s="1"/>
      <c r="C38" s="1"/>
      <c r="D38" s="1"/>
      <c r="E38" s="1"/>
      <c r="F38" s="1"/>
      <c r="G38" s="1"/>
      <c r="H38" s="1"/>
      <c r="I38" s="1"/>
      <c r="J38" s="1"/>
      <c r="K38" s="1"/>
      <c r="L38" s="1"/>
      <c r="M38" s="1"/>
      <c r="N38" s="1"/>
      <c r="O38" s="1"/>
      <c r="P38" s="1"/>
      <c r="Q38" s="1"/>
      <c r="R38" s="1"/>
      <c r="S38" s="1"/>
      <c r="T38" s="1"/>
      <c r="U38" s="1"/>
      <c r="V38" s="1"/>
      <c r="W38" s="1"/>
      <c r="X38" s="1"/>
      <c r="Y38" s="1"/>
      <c r="Z38" s="1"/>
    </row>
    <row r="39" ht="14.25" customHeight="1">
      <c r="A39" s="1"/>
      <c r="B39" s="1"/>
      <c r="C39" s="1"/>
      <c r="D39" s="1"/>
      <c r="E39" s="1"/>
      <c r="F39" s="1"/>
      <c r="G39" s="1"/>
      <c r="H39" s="1"/>
      <c r="I39" s="1"/>
      <c r="J39" s="1"/>
      <c r="K39" s="1"/>
      <c r="L39" s="1"/>
      <c r="M39" s="1"/>
      <c r="N39" s="1"/>
      <c r="O39" s="1"/>
      <c r="P39" s="1"/>
      <c r="Q39" s="1"/>
      <c r="R39" s="1"/>
      <c r="S39" s="1"/>
      <c r="T39" s="1"/>
      <c r="U39" s="1"/>
      <c r="V39" s="1"/>
      <c r="W39" s="1"/>
      <c r="X39" s="1"/>
      <c r="Y39" s="1"/>
      <c r="Z39" s="1"/>
    </row>
    <row r="40" ht="14.25" customHeight="1">
      <c r="A40" s="1"/>
      <c r="B40" s="1"/>
      <c r="C40" s="1"/>
      <c r="D40" s="1"/>
      <c r="E40" s="1"/>
      <c r="F40" s="1"/>
      <c r="G40" s="1"/>
      <c r="H40" s="1"/>
      <c r="I40" s="1"/>
      <c r="J40" s="1"/>
      <c r="K40" s="1"/>
      <c r="L40" s="1"/>
      <c r="M40" s="1"/>
      <c r="N40" s="1"/>
      <c r="O40" s="1"/>
      <c r="P40" s="1"/>
      <c r="Q40" s="1"/>
      <c r="R40" s="1"/>
      <c r="S40" s="1"/>
      <c r="T40" s="1"/>
      <c r="U40" s="1"/>
      <c r="V40" s="1"/>
      <c r="W40" s="1"/>
      <c r="X40" s="1"/>
      <c r="Y40" s="1"/>
      <c r="Z40" s="1"/>
    </row>
    <row r="41" ht="14.25" customHeight="1">
      <c r="A41" s="1"/>
      <c r="B41" s="1"/>
      <c r="C41" s="1"/>
      <c r="D41" s="1"/>
      <c r="E41" s="1"/>
      <c r="F41" s="1"/>
      <c r="G41" s="1"/>
      <c r="H41" s="1"/>
      <c r="I41" s="1"/>
      <c r="J41" s="1"/>
      <c r="K41" s="1"/>
      <c r="L41" s="1"/>
      <c r="M41" s="1"/>
      <c r="N41" s="1"/>
      <c r="O41" s="1"/>
      <c r="P41" s="1"/>
      <c r="Q41" s="1"/>
      <c r="R41" s="1"/>
      <c r="S41" s="1"/>
      <c r="T41" s="1"/>
      <c r="U41" s="1"/>
      <c r="V41" s="1"/>
      <c r="W41" s="1"/>
      <c r="X41" s="1"/>
      <c r="Y41" s="1"/>
      <c r="Z41" s="1"/>
    </row>
    <row r="42" ht="14.25" customHeight="1">
      <c r="A42" s="1"/>
      <c r="B42" s="1"/>
      <c r="C42" s="1"/>
      <c r="D42" s="1"/>
      <c r="E42" s="1"/>
      <c r="F42" s="1"/>
      <c r="G42" s="1"/>
      <c r="H42" s="1"/>
      <c r="I42" s="1"/>
      <c r="J42" s="1"/>
      <c r="K42" s="1"/>
      <c r="L42" s="1"/>
      <c r="M42" s="1"/>
      <c r="N42" s="1"/>
      <c r="O42" s="1"/>
      <c r="P42" s="1"/>
      <c r="Q42" s="1"/>
      <c r="R42" s="1"/>
      <c r="S42" s="1"/>
      <c r="T42" s="1"/>
      <c r="U42" s="1"/>
      <c r="V42" s="1"/>
      <c r="W42" s="1"/>
      <c r="X42" s="1"/>
      <c r="Y42" s="1"/>
      <c r="Z42" s="1"/>
    </row>
    <row r="43" ht="14.25" customHeight="1">
      <c r="A43" s="1"/>
      <c r="B43" s="1"/>
      <c r="C43" s="1"/>
      <c r="D43" s="1"/>
      <c r="E43" s="1"/>
      <c r="F43" s="1"/>
      <c r="G43" s="1"/>
      <c r="H43" s="1"/>
      <c r="I43" s="1"/>
      <c r="J43" s="1"/>
      <c r="K43" s="1"/>
      <c r="L43" s="1"/>
      <c r="M43" s="1"/>
      <c r="N43" s="1"/>
      <c r="O43" s="1"/>
      <c r="P43" s="1"/>
      <c r="Q43" s="1"/>
      <c r="R43" s="1"/>
      <c r="S43" s="1"/>
      <c r="T43" s="1"/>
      <c r="U43" s="1"/>
      <c r="V43" s="1"/>
      <c r="W43" s="1"/>
      <c r="X43" s="1"/>
      <c r="Y43" s="1"/>
      <c r="Z43" s="1"/>
    </row>
    <row r="44" ht="14.25" customHeight="1">
      <c r="A44" s="1"/>
      <c r="B44" s="1"/>
      <c r="C44" s="1"/>
      <c r="D44" s="1"/>
      <c r="E44" s="1"/>
      <c r="F44" s="1"/>
      <c r="G44" s="1"/>
      <c r="H44" s="1"/>
      <c r="I44" s="1"/>
      <c r="J44" s="1"/>
      <c r="K44" s="1"/>
      <c r="L44" s="1"/>
      <c r="M44" s="1"/>
      <c r="N44" s="1"/>
      <c r="O44" s="1"/>
      <c r="P44" s="1"/>
      <c r="Q44" s="1"/>
      <c r="R44" s="1"/>
      <c r="S44" s="1"/>
      <c r="T44" s="1"/>
      <c r="U44" s="1"/>
      <c r="V44" s="1"/>
      <c r="W44" s="1"/>
      <c r="X44" s="1"/>
      <c r="Y44" s="1"/>
      <c r="Z44" s="1"/>
    </row>
    <row r="45" ht="14.25" customHeight="1">
      <c r="A45" s="1"/>
      <c r="B45" s="1"/>
      <c r="C45" s="1"/>
      <c r="D45" s="1"/>
      <c r="E45" s="1"/>
      <c r="F45" s="1"/>
      <c r="G45" s="1"/>
      <c r="H45" s="1"/>
      <c r="I45" s="1"/>
      <c r="J45" s="1"/>
      <c r="K45" s="1"/>
      <c r="L45" s="1"/>
      <c r="M45" s="1"/>
      <c r="N45" s="1"/>
      <c r="O45" s="1"/>
      <c r="P45" s="1"/>
      <c r="Q45" s="1"/>
      <c r="R45" s="1"/>
      <c r="S45" s="1"/>
      <c r="T45" s="1"/>
      <c r="U45" s="1"/>
      <c r="V45" s="1"/>
      <c r="W45" s="1"/>
      <c r="X45" s="1"/>
      <c r="Y45" s="1"/>
      <c r="Z45" s="1"/>
    </row>
    <row r="46" ht="14.25" customHeight="1">
      <c r="A46" s="1"/>
      <c r="B46" s="1"/>
      <c r="C46" s="1"/>
      <c r="D46" s="1"/>
      <c r="E46" s="1"/>
      <c r="F46" s="1"/>
      <c r="G46" s="1"/>
      <c r="H46" s="1"/>
      <c r="I46" s="1"/>
      <c r="J46" s="1"/>
      <c r="K46" s="1"/>
      <c r="L46" s="1"/>
      <c r="M46" s="1"/>
      <c r="N46" s="1"/>
      <c r="O46" s="1"/>
      <c r="P46" s="1"/>
      <c r="Q46" s="1"/>
      <c r="R46" s="1"/>
      <c r="S46" s="1"/>
      <c r="T46" s="1"/>
      <c r="U46" s="1"/>
      <c r="V46" s="1"/>
      <c r="W46" s="1"/>
      <c r="X46" s="1"/>
      <c r="Y46" s="1"/>
      <c r="Z46" s="1"/>
    </row>
    <row r="47" ht="14.25" customHeight="1">
      <c r="A47" s="1"/>
      <c r="B47" s="1"/>
      <c r="C47" s="1"/>
      <c r="D47" s="1"/>
      <c r="E47" s="1"/>
      <c r="F47" s="1"/>
      <c r="G47" s="1"/>
      <c r="H47" s="1"/>
      <c r="I47" s="1"/>
      <c r="J47" s="1"/>
      <c r="K47" s="1"/>
      <c r="L47" s="1"/>
      <c r="M47" s="1"/>
      <c r="N47" s="1"/>
      <c r="O47" s="1"/>
      <c r="P47" s="1"/>
      <c r="Q47" s="1"/>
      <c r="R47" s="1"/>
      <c r="S47" s="1"/>
      <c r="T47" s="1"/>
      <c r="U47" s="1"/>
      <c r="V47" s="1"/>
      <c r="W47" s="1"/>
      <c r="X47" s="1"/>
      <c r="Y47" s="1"/>
      <c r="Z47" s="1"/>
    </row>
    <row r="48" ht="14.25" customHeight="1">
      <c r="A48" s="1"/>
      <c r="B48" s="1"/>
      <c r="C48" s="1"/>
      <c r="D48" s="1"/>
      <c r="E48" s="1"/>
      <c r="F48" s="1"/>
      <c r="G48" s="1"/>
      <c r="H48" s="1"/>
      <c r="I48" s="1"/>
      <c r="J48" s="1"/>
      <c r="K48" s="1"/>
      <c r="L48" s="1"/>
      <c r="M48" s="1"/>
      <c r="N48" s="1"/>
      <c r="O48" s="1"/>
      <c r="P48" s="1"/>
      <c r="Q48" s="1"/>
      <c r="R48" s="1"/>
      <c r="S48" s="1"/>
      <c r="T48" s="1"/>
      <c r="U48" s="1"/>
      <c r="V48" s="1"/>
      <c r="W48" s="1"/>
      <c r="X48" s="1"/>
      <c r="Y48" s="1"/>
      <c r="Z48" s="1"/>
    </row>
    <row r="49" ht="14.25" customHeight="1">
      <c r="A49" s="1"/>
      <c r="B49" s="1"/>
      <c r="C49" s="1"/>
      <c r="D49" s="1"/>
      <c r="E49" s="1"/>
      <c r="F49" s="1"/>
      <c r="G49" s="1"/>
      <c r="H49" s="1"/>
      <c r="I49" s="1"/>
      <c r="J49" s="1"/>
      <c r="K49" s="1"/>
      <c r="L49" s="1"/>
      <c r="M49" s="1"/>
      <c r="N49" s="1"/>
      <c r="O49" s="1"/>
      <c r="P49" s="1"/>
      <c r="Q49" s="1"/>
      <c r="R49" s="1"/>
      <c r="S49" s="1"/>
      <c r="T49" s="1"/>
      <c r="U49" s="1"/>
      <c r="V49" s="1"/>
      <c r="W49" s="1"/>
      <c r="X49" s="1"/>
      <c r="Y49" s="1"/>
      <c r="Z49" s="1"/>
    </row>
    <row r="50" ht="14.25" customHeight="1">
      <c r="A50" s="1"/>
      <c r="B50" s="1"/>
      <c r="C50" s="1"/>
      <c r="D50" s="1"/>
      <c r="E50" s="1"/>
      <c r="F50" s="1"/>
      <c r="G50" s="1"/>
      <c r="H50" s="1"/>
      <c r="I50" s="1"/>
      <c r="J50" s="1"/>
      <c r="K50" s="1"/>
      <c r="L50" s="1"/>
      <c r="M50" s="1"/>
      <c r="N50" s="1"/>
      <c r="O50" s="1"/>
      <c r="P50" s="1"/>
      <c r="Q50" s="1"/>
      <c r="R50" s="1"/>
      <c r="S50" s="1"/>
      <c r="T50" s="1"/>
      <c r="U50" s="1"/>
      <c r="V50" s="1"/>
      <c r="W50" s="1"/>
      <c r="X50" s="1"/>
      <c r="Y50" s="1"/>
      <c r="Z50" s="1"/>
    </row>
    <row r="51" ht="14.25" customHeight="1">
      <c r="A51" s="1"/>
      <c r="B51" s="1"/>
      <c r="C51" s="1"/>
      <c r="D51" s="1"/>
      <c r="E51" s="1"/>
      <c r="F51" s="1"/>
      <c r="G51" s="1"/>
      <c r="H51" s="1"/>
      <c r="I51" s="1"/>
      <c r="J51" s="1"/>
      <c r="K51" s="1"/>
      <c r="L51" s="1"/>
      <c r="M51" s="1"/>
      <c r="N51" s="1"/>
      <c r="O51" s="1"/>
      <c r="P51" s="1"/>
      <c r="Q51" s="1"/>
      <c r="R51" s="1"/>
      <c r="S51" s="1"/>
      <c r="T51" s="1"/>
      <c r="U51" s="1"/>
      <c r="V51" s="1"/>
      <c r="W51" s="1"/>
      <c r="X51" s="1"/>
      <c r="Y51" s="1"/>
      <c r="Z51" s="1"/>
    </row>
    <row r="52" ht="14.25" customHeight="1">
      <c r="A52" s="1"/>
      <c r="B52" s="1"/>
      <c r="C52" s="1"/>
      <c r="D52" s="1"/>
      <c r="E52" s="1"/>
      <c r="F52" s="1"/>
      <c r="G52" s="1"/>
      <c r="H52" s="1"/>
      <c r="I52" s="1"/>
      <c r="J52" s="1"/>
      <c r="K52" s="1"/>
      <c r="L52" s="1"/>
      <c r="M52" s="1"/>
      <c r="N52" s="1"/>
      <c r="O52" s="1"/>
      <c r="P52" s="1"/>
      <c r="Q52" s="1"/>
      <c r="R52" s="1"/>
      <c r="S52" s="1"/>
      <c r="T52" s="1"/>
      <c r="U52" s="1"/>
      <c r="V52" s="1"/>
      <c r="W52" s="1"/>
      <c r="X52" s="1"/>
      <c r="Y52" s="1"/>
      <c r="Z52" s="1"/>
    </row>
    <row r="53" ht="14.25" customHeight="1">
      <c r="A53" s="1"/>
      <c r="B53" s="1"/>
      <c r="C53" s="1"/>
      <c r="D53" s="1"/>
      <c r="E53" s="1"/>
      <c r="F53" s="1"/>
      <c r="G53" s="1"/>
      <c r="H53" s="1"/>
      <c r="I53" s="1"/>
      <c r="J53" s="1"/>
      <c r="K53" s="1"/>
      <c r="L53" s="1"/>
      <c r="M53" s="1"/>
      <c r="N53" s="1"/>
      <c r="O53" s="1"/>
      <c r="P53" s="1"/>
      <c r="Q53" s="1"/>
      <c r="R53" s="1"/>
      <c r="S53" s="1"/>
      <c r="T53" s="1"/>
      <c r="U53" s="1"/>
      <c r="V53" s="1"/>
      <c r="W53" s="1"/>
      <c r="X53" s="1"/>
      <c r="Y53" s="1"/>
      <c r="Z53" s="1"/>
    </row>
    <row r="54" ht="14.25" customHeight="1">
      <c r="A54" s="1"/>
      <c r="B54" s="1"/>
      <c r="C54" s="1"/>
      <c r="D54" s="1"/>
      <c r="E54" s="1"/>
      <c r="F54" s="1"/>
      <c r="G54" s="1"/>
      <c r="H54" s="1"/>
      <c r="I54" s="1"/>
      <c r="J54" s="1"/>
      <c r="K54" s="1"/>
      <c r="L54" s="1"/>
      <c r="M54" s="1"/>
      <c r="N54" s="1"/>
      <c r="O54" s="1"/>
      <c r="P54" s="1"/>
      <c r="Q54" s="1"/>
      <c r="R54" s="1"/>
      <c r="S54" s="1"/>
      <c r="T54" s="1"/>
      <c r="U54" s="1"/>
      <c r="V54" s="1"/>
      <c r="W54" s="1"/>
      <c r="X54" s="1"/>
      <c r="Y54" s="1"/>
      <c r="Z54" s="1"/>
    </row>
    <row r="55" ht="14.25" customHeight="1">
      <c r="A55" s="1"/>
      <c r="B55" s="1"/>
      <c r="C55" s="1"/>
      <c r="D55" s="1"/>
      <c r="E55" s="1"/>
      <c r="F55" s="1"/>
      <c r="G55" s="1"/>
      <c r="H55" s="1"/>
      <c r="I55" s="1"/>
      <c r="J55" s="1"/>
      <c r="K55" s="1"/>
      <c r="L55" s="1"/>
      <c r="M55" s="1"/>
      <c r="N55" s="1"/>
      <c r="O55" s="1"/>
      <c r="P55" s="1"/>
      <c r="Q55" s="1"/>
      <c r="R55" s="1"/>
      <c r="S55" s="1"/>
      <c r="T55" s="1"/>
      <c r="U55" s="1"/>
      <c r="V55" s="1"/>
      <c r="W55" s="1"/>
      <c r="X55" s="1"/>
      <c r="Y55" s="1"/>
      <c r="Z55" s="1"/>
    </row>
    <row r="56" ht="14.25" customHeight="1">
      <c r="A56" s="1"/>
      <c r="B56" s="1"/>
      <c r="C56" s="1"/>
      <c r="D56" s="1"/>
      <c r="E56" s="1"/>
      <c r="F56" s="1"/>
      <c r="G56" s="1"/>
      <c r="H56" s="1"/>
      <c r="I56" s="1"/>
      <c r="J56" s="1"/>
      <c r="K56" s="1"/>
      <c r="L56" s="1"/>
      <c r="M56" s="1"/>
      <c r="N56" s="1"/>
      <c r="O56" s="1"/>
      <c r="P56" s="1"/>
      <c r="Q56" s="1"/>
      <c r="R56" s="1"/>
      <c r="S56" s="1"/>
      <c r="T56" s="1"/>
      <c r="U56" s="1"/>
      <c r="V56" s="1"/>
      <c r="W56" s="1"/>
      <c r="X56" s="1"/>
      <c r="Y56" s="1"/>
      <c r="Z56" s="1"/>
    </row>
    <row r="57" ht="14.25" customHeight="1">
      <c r="A57" s="1"/>
      <c r="B57" s="1"/>
      <c r="C57" s="1"/>
      <c r="D57" s="1"/>
      <c r="E57" s="1"/>
      <c r="F57" s="1"/>
      <c r="G57" s="1"/>
      <c r="H57" s="1"/>
      <c r="I57" s="1"/>
      <c r="J57" s="1"/>
      <c r="K57" s="1"/>
      <c r="L57" s="1"/>
      <c r="M57" s="1"/>
      <c r="N57" s="1"/>
      <c r="O57" s="1"/>
      <c r="P57" s="1"/>
      <c r="Q57" s="1"/>
      <c r="R57" s="1"/>
      <c r="S57" s="1"/>
      <c r="T57" s="1"/>
      <c r="U57" s="1"/>
      <c r="V57" s="1"/>
      <c r="W57" s="1"/>
      <c r="X57" s="1"/>
      <c r="Y57" s="1"/>
      <c r="Z57" s="1"/>
    </row>
    <row r="58" ht="14.25" customHeight="1">
      <c r="A58" s="1"/>
      <c r="B58" s="1"/>
      <c r="C58" s="1"/>
      <c r="D58" s="1"/>
      <c r="E58" s="1"/>
      <c r="F58" s="1"/>
      <c r="G58" s="1"/>
      <c r="H58" s="1"/>
      <c r="I58" s="1"/>
      <c r="J58" s="1"/>
      <c r="K58" s="1"/>
      <c r="L58" s="1"/>
      <c r="M58" s="1"/>
      <c r="N58" s="1"/>
      <c r="O58" s="1"/>
      <c r="P58" s="1"/>
      <c r="Q58" s="1"/>
      <c r="R58" s="1"/>
      <c r="S58" s="1"/>
      <c r="T58" s="1"/>
      <c r="U58" s="1"/>
      <c r="V58" s="1"/>
      <c r="W58" s="1"/>
      <c r="X58" s="1"/>
      <c r="Y58" s="1"/>
      <c r="Z58" s="1"/>
    </row>
    <row r="59" ht="14.25" customHeight="1">
      <c r="A59" s="1"/>
      <c r="B59" s="1"/>
      <c r="C59" s="1"/>
      <c r="D59" s="1"/>
      <c r="E59" s="1"/>
      <c r="F59" s="1"/>
      <c r="G59" s="1"/>
      <c r="H59" s="1"/>
      <c r="I59" s="1"/>
      <c r="J59" s="1"/>
      <c r="K59" s="1"/>
      <c r="L59" s="1"/>
      <c r="M59" s="1"/>
      <c r="N59" s="1"/>
      <c r="O59" s="1"/>
      <c r="P59" s="1"/>
      <c r="Q59" s="1"/>
      <c r="R59" s="1"/>
      <c r="S59" s="1"/>
      <c r="T59" s="1"/>
      <c r="U59" s="1"/>
      <c r="V59" s="1"/>
      <c r="W59" s="1"/>
      <c r="X59" s="1"/>
      <c r="Y59" s="1"/>
      <c r="Z59" s="1"/>
    </row>
    <row r="60" ht="14.25" customHeight="1">
      <c r="A60" s="1"/>
      <c r="B60" s="1"/>
      <c r="C60" s="1"/>
      <c r="D60" s="1"/>
      <c r="E60" s="1"/>
      <c r="F60" s="1"/>
      <c r="G60" s="1"/>
      <c r="H60" s="1"/>
      <c r="I60" s="1"/>
      <c r="J60" s="1"/>
      <c r="K60" s="1"/>
      <c r="L60" s="1"/>
      <c r="M60" s="1"/>
      <c r="N60" s="1"/>
      <c r="O60" s="1"/>
      <c r="P60" s="1"/>
      <c r="Q60" s="1"/>
      <c r="R60" s="1"/>
      <c r="S60" s="1"/>
      <c r="T60" s="1"/>
      <c r="U60" s="1"/>
      <c r="V60" s="1"/>
      <c r="W60" s="1"/>
      <c r="X60" s="1"/>
      <c r="Y60" s="1"/>
      <c r="Z60" s="1"/>
    </row>
    <row r="61" ht="14.2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4.25" customHeight="1">
      <c r="A62" s="1"/>
      <c r="B62" s="1"/>
      <c r="C62" s="1"/>
      <c r="D62" s="1"/>
      <c r="E62" s="1"/>
      <c r="F62" s="1"/>
      <c r="G62" s="1"/>
      <c r="H62" s="1"/>
      <c r="I62" s="1"/>
      <c r="J62" s="1"/>
      <c r="K62" s="1"/>
      <c r="L62" s="1"/>
      <c r="M62" s="1"/>
      <c r="N62" s="1"/>
      <c r="O62" s="1"/>
      <c r="P62" s="1"/>
      <c r="Q62" s="1"/>
      <c r="R62" s="1"/>
      <c r="S62" s="1"/>
      <c r="T62" s="1"/>
      <c r="U62" s="1"/>
      <c r="V62" s="1"/>
      <c r="W62" s="1"/>
      <c r="X62" s="1"/>
      <c r="Y62" s="1"/>
      <c r="Z62" s="1"/>
    </row>
    <row r="63" ht="14.2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4.25" customHeight="1">
      <c r="A64" s="1"/>
      <c r="B64" s="1"/>
      <c r="C64" s="1"/>
      <c r="D64" s="1"/>
      <c r="E64" s="1"/>
      <c r="F64" s="1"/>
      <c r="G64" s="1"/>
      <c r="H64" s="1"/>
      <c r="I64" s="1"/>
      <c r="J64" s="1"/>
      <c r="K64" s="1"/>
      <c r="L64" s="1"/>
      <c r="M64" s="1"/>
      <c r="N64" s="1"/>
      <c r="O64" s="1"/>
      <c r="P64" s="1"/>
      <c r="Q64" s="1"/>
      <c r="R64" s="1"/>
      <c r="S64" s="1"/>
      <c r="T64" s="1"/>
      <c r="U64" s="1"/>
      <c r="V64" s="1"/>
      <c r="W64" s="1"/>
      <c r="X64" s="1"/>
      <c r="Y64" s="1"/>
      <c r="Z64" s="1"/>
    </row>
    <row r="65" ht="14.2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4.25" customHeight="1">
      <c r="A66" s="1"/>
      <c r="B66" s="1"/>
      <c r="C66" s="1"/>
      <c r="D66" s="1"/>
      <c r="E66" s="1"/>
      <c r="F66" s="1"/>
      <c r="G66" s="1"/>
      <c r="H66" s="1"/>
      <c r="I66" s="1"/>
      <c r="J66" s="1"/>
      <c r="K66" s="1"/>
      <c r="L66" s="1"/>
      <c r="M66" s="1"/>
      <c r="N66" s="1"/>
      <c r="O66" s="1"/>
      <c r="P66" s="1"/>
      <c r="Q66" s="1"/>
      <c r="R66" s="1"/>
      <c r="S66" s="1"/>
      <c r="T66" s="1"/>
      <c r="U66" s="1"/>
      <c r="V66" s="1"/>
      <c r="W66" s="1"/>
      <c r="X66" s="1"/>
      <c r="Y66" s="1"/>
      <c r="Z66" s="1"/>
    </row>
    <row r="67" ht="14.2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4.25" customHeight="1">
      <c r="A68" s="1"/>
      <c r="B68" s="1"/>
      <c r="C68" s="1"/>
      <c r="D68" s="1"/>
      <c r="E68" s="1"/>
      <c r="F68" s="1"/>
      <c r="G68" s="1"/>
      <c r="H68" s="1"/>
      <c r="I68" s="1"/>
      <c r="J68" s="1"/>
      <c r="K68" s="1"/>
      <c r="L68" s="1"/>
      <c r="M68" s="1"/>
      <c r="N68" s="1"/>
      <c r="O68" s="1"/>
      <c r="P68" s="1"/>
      <c r="Q68" s="1"/>
      <c r="R68" s="1"/>
      <c r="S68" s="1"/>
      <c r="T68" s="1"/>
      <c r="U68" s="1"/>
      <c r="V68" s="1"/>
      <c r="W68" s="1"/>
      <c r="X68" s="1"/>
      <c r="Y68" s="1"/>
      <c r="Z68" s="1"/>
    </row>
    <row r="69" ht="14.2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4.25" customHeight="1">
      <c r="A70" s="1"/>
      <c r="B70" s="1"/>
      <c r="C70" s="1"/>
      <c r="D70" s="1"/>
      <c r="E70" s="1"/>
      <c r="F70" s="1"/>
      <c r="G70" s="1"/>
      <c r="H70" s="1"/>
      <c r="I70" s="1"/>
      <c r="J70" s="1"/>
      <c r="K70" s="1"/>
      <c r="L70" s="1"/>
      <c r="M70" s="1"/>
      <c r="N70" s="1"/>
      <c r="O70" s="1"/>
      <c r="P70" s="1"/>
      <c r="Q70" s="1"/>
      <c r="R70" s="1"/>
      <c r="S70" s="1"/>
      <c r="T70" s="1"/>
      <c r="U70" s="1"/>
      <c r="V70" s="1"/>
      <c r="W70" s="1"/>
      <c r="X70" s="1"/>
      <c r="Y70" s="1"/>
      <c r="Z70" s="1"/>
    </row>
    <row r="71" ht="14.2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4.25" customHeight="1">
      <c r="A72" s="1"/>
      <c r="B72" s="1"/>
      <c r="C72" s="1"/>
      <c r="D72" s="1"/>
      <c r="E72" s="1"/>
      <c r="F72" s="1"/>
      <c r="G72" s="1"/>
      <c r="H72" s="1"/>
      <c r="I72" s="1"/>
      <c r="J72" s="1"/>
      <c r="K72" s="1"/>
      <c r="L72" s="1"/>
      <c r="M72" s="1"/>
      <c r="N72" s="1"/>
      <c r="O72" s="1"/>
      <c r="P72" s="1"/>
      <c r="Q72" s="1"/>
      <c r="R72" s="1"/>
      <c r="S72" s="1"/>
      <c r="T72" s="1"/>
      <c r="U72" s="1"/>
      <c r="V72" s="1"/>
      <c r="W72" s="1"/>
      <c r="X72" s="1"/>
      <c r="Y72" s="1"/>
      <c r="Z72" s="1"/>
    </row>
    <row r="73" ht="14.2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4.25" customHeight="1">
      <c r="A74" s="1"/>
      <c r="B74" s="1"/>
      <c r="C74" s="1"/>
      <c r="D74" s="1"/>
      <c r="E74" s="1"/>
      <c r="F74" s="1"/>
      <c r="G74" s="1"/>
      <c r="H74" s="1"/>
      <c r="I74" s="1"/>
      <c r="J74" s="1"/>
      <c r="K74" s="1"/>
      <c r="L74" s="1"/>
      <c r="M74" s="1"/>
      <c r="N74" s="1"/>
      <c r="O74" s="1"/>
      <c r="P74" s="1"/>
      <c r="Q74" s="1"/>
      <c r="R74" s="1"/>
      <c r="S74" s="1"/>
      <c r="T74" s="1"/>
      <c r="U74" s="1"/>
      <c r="V74" s="1"/>
      <c r="W74" s="1"/>
      <c r="X74" s="1"/>
      <c r="Y74" s="1"/>
      <c r="Z74" s="1"/>
    </row>
    <row r="75" ht="14.2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4.25" customHeight="1">
      <c r="A76" s="1"/>
      <c r="B76" s="1"/>
      <c r="C76" s="1"/>
      <c r="D76" s="1"/>
      <c r="E76" s="1"/>
      <c r="F76" s="1"/>
      <c r="G76" s="1"/>
      <c r="H76" s="1"/>
      <c r="I76" s="1"/>
      <c r="J76" s="1"/>
      <c r="K76" s="1"/>
      <c r="L76" s="1"/>
      <c r="M76" s="1"/>
      <c r="N76" s="1"/>
      <c r="O76" s="1"/>
      <c r="P76" s="1"/>
      <c r="Q76" s="1"/>
      <c r="R76" s="1"/>
      <c r="S76" s="1"/>
      <c r="T76" s="1"/>
      <c r="U76" s="1"/>
      <c r="V76" s="1"/>
      <c r="W76" s="1"/>
      <c r="X76" s="1"/>
      <c r="Y76" s="1"/>
      <c r="Z76" s="1"/>
    </row>
    <row r="77" ht="14.2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4.25" customHeight="1">
      <c r="A78" s="1"/>
      <c r="B78" s="1"/>
      <c r="C78" s="1"/>
      <c r="D78" s="1"/>
      <c r="E78" s="1"/>
      <c r="F78" s="1"/>
      <c r="G78" s="1"/>
      <c r="H78" s="1"/>
      <c r="I78" s="1"/>
      <c r="J78" s="1"/>
      <c r="K78" s="1"/>
      <c r="L78" s="1"/>
      <c r="M78" s="1"/>
      <c r="N78" s="1"/>
      <c r="O78" s="1"/>
      <c r="P78" s="1"/>
      <c r="Q78" s="1"/>
      <c r="R78" s="1"/>
      <c r="S78" s="1"/>
      <c r="T78" s="1"/>
      <c r="U78" s="1"/>
      <c r="V78" s="1"/>
      <c r="W78" s="1"/>
      <c r="X78" s="1"/>
      <c r="Y78" s="1"/>
      <c r="Z78" s="1"/>
    </row>
    <row r="79" ht="14.2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4.25" customHeight="1">
      <c r="A80" s="1"/>
      <c r="B80" s="1"/>
      <c r="C80" s="1"/>
      <c r="D80" s="1"/>
      <c r="E80" s="1"/>
      <c r="F80" s="1"/>
      <c r="G80" s="1"/>
      <c r="H80" s="1"/>
      <c r="I80" s="1"/>
      <c r="J80" s="1"/>
      <c r="K80" s="1"/>
      <c r="L80" s="1"/>
      <c r="M80" s="1"/>
      <c r="N80" s="1"/>
      <c r="O80" s="1"/>
      <c r="P80" s="1"/>
      <c r="Q80" s="1"/>
      <c r="R80" s="1"/>
      <c r="S80" s="1"/>
      <c r="T80" s="1"/>
      <c r="U80" s="1"/>
      <c r="V80" s="1"/>
      <c r="W80" s="1"/>
      <c r="X80" s="1"/>
      <c r="Y80" s="1"/>
      <c r="Z80" s="1"/>
    </row>
    <row r="81" ht="14.25" customHeight="1">
      <c r="A81" s="1"/>
      <c r="B81" s="1"/>
      <c r="C81" s="1"/>
      <c r="D81" s="1"/>
      <c r="E81" s="1"/>
      <c r="F81" s="1"/>
      <c r="G81" s="1"/>
      <c r="H81" s="1"/>
      <c r="I81" s="1"/>
      <c r="J81" s="1"/>
      <c r="K81" s="1"/>
      <c r="L81" s="1"/>
      <c r="M81" s="1"/>
      <c r="N81" s="1"/>
      <c r="O81" s="1"/>
      <c r="P81" s="1"/>
      <c r="Q81" s="1"/>
      <c r="R81" s="1"/>
      <c r="S81" s="1"/>
      <c r="T81" s="1"/>
      <c r="U81" s="1"/>
      <c r="V81" s="1"/>
      <c r="W81" s="1"/>
      <c r="X81" s="1"/>
      <c r="Y81" s="1"/>
      <c r="Z81" s="1"/>
    </row>
    <row r="82" ht="14.25" customHeight="1">
      <c r="A82" s="1"/>
      <c r="B82" s="1"/>
      <c r="C82" s="1"/>
      <c r="D82" s="1"/>
      <c r="E82" s="1"/>
      <c r="F82" s="1"/>
      <c r="G82" s="1"/>
      <c r="H82" s="1"/>
      <c r="I82" s="1"/>
      <c r="J82" s="1"/>
      <c r="K82" s="1"/>
      <c r="L82" s="1"/>
      <c r="M82" s="1"/>
      <c r="N82" s="1"/>
      <c r="O82" s="1"/>
      <c r="P82" s="1"/>
      <c r="Q82" s="1"/>
      <c r="R82" s="1"/>
      <c r="S82" s="1"/>
      <c r="T82" s="1"/>
      <c r="U82" s="1"/>
      <c r="V82" s="1"/>
      <c r="W82" s="1"/>
      <c r="X82" s="1"/>
      <c r="Y82" s="1"/>
      <c r="Z82" s="1"/>
    </row>
    <row r="83" ht="14.2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4.2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4.2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4.2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4.2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4.2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4.2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4.2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4.2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4.2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4.2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4.2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4.2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4.2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4.2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4.2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4.2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4.2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4.2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4.2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4.2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4.2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4.2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4.2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4.2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4.2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4.2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4.2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4.2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4.2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4.2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4.2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4.2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4.2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4.2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4.2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4.2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4.2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4.2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4.2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4.2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4.2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4.2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4.2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4.2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4.2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4.2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4.2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4.2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4.2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4.2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4.2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4.2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4.2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4.2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4.2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4.2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4.2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4.2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4.2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4.2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4.2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4.2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4.2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4.2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4.2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4.2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4.2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4.2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4.2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4.2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4.2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4.2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4.2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4.2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4.2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4.2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4.2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4.2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4.2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4.2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4.2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4.2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4.2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4.2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4.2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4.2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4.2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4.2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4.2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4.2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4.2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4.2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4.2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4.2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4.2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4.2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4.2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4.2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4.2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4.2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4.2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4.2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4.2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4.2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4.2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4.2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4.2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4.2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4.2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4.2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4.2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4.2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4.2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4.2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4.2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4.2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4.2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4.2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4.2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4.2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4.2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4.2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4.2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4.2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4.2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4.2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4.2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4.2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4.2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4.2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4.2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4.2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4.2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4.2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4.2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4.2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4.2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4.2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4.2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4.2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5.7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5.7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5.7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5.7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5.7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5.7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5.7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5.7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5.7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5.7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5.7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5.7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5.7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5.7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5.7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5.7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5.7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5.7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5.7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5.7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5.7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5.7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5.7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5.7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5.7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5.7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5.7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5.7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5.7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5.7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5.7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5.7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5.7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5.7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5.7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5.7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5.7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5.7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5.7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5.7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5.7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5.7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5.7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5.7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5.7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5.7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5.7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5.7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5.7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5.7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5.7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5.7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5.7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5.7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5.7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5.7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5.7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5.7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5.7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5.7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5.7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5.7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5.7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5.7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5.7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5.7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5.7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5.7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5.7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5.7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5.7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5.7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5.7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5.7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5.7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5.7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5.7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5.7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5.7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5.7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5.7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5.7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5.7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5.7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5.7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5.7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5.7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5.7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5.7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5.7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5.7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5.7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5.7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5.7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5.7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5.7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5.7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5.7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5.7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5.7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5.7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5.7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5.7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5.7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5.7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5.7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5.7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5.7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5.7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5.7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5.7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5.7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5.7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5.7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5.7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5.7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5.7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5.7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5.7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5.7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5.7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5.7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5.7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5.7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5.7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5.7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5.7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5.7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5.7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5.7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5.7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5.7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5.7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5.7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5.7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5.7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5.7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5.7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5.7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5.7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5.7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5.7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5.7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5.7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5.7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5.7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5.7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5.7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5.7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5.7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5.7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5.7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5.7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5.7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5.7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5.7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5.7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5.7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5.7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5.7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5.7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5.7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5.7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5.7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5.7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5.7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5.7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5.7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5.7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5.7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5.7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5.7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5.7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5.7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5.7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5.7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5.7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5.7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5.7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5.7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5.7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5.7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5.7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5.7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5.7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5.7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5.7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5.7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5.7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5.7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5.7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5.7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5.7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5.7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5.7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5.7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5.7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5.7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5.7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5.7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5.7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5.7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5.7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5.7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5.7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5.7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5.7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5.7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5.7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5.7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5.7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5.7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5.7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5.7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5.7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5.7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5.7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5.7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5.7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5.7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5.7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5.7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5.7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5.7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5.7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5.7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5.7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5.7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5.7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5.7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5.7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5.7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5.7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5.7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5.7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5.7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5.7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5.7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5.7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5.7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5.7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5.7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5.7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5.7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5.7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5.7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5.7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5.7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5.7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5.7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5.7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5.7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5.7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5.7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5.7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5.7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5.7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5.7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5.7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5.7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5.7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5.7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5.7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5.7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5.7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5.7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5.7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5.7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5.7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5.7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5.7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5.7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5.7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5.7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5.7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5.7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5.7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5.7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5.7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5.7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5.7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5.7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5.7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5.7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5.7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5.7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5.7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5.7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5.7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5.7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5.7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5.7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5.7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5.7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5.7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5.7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5.7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5.7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5.7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5.7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5.7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5.7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5.7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5.7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5.7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5.7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5.7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5.7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5.7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5.7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5.7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5.7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5.7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5.7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5.7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5.7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5.7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5.7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5.7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5.7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5.7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5.7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5.7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5.7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5.7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5.7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5.7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5.7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5.7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5.7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5.7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5.7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5.7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5.7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5.7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5.7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5.7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5.7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5.7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5.7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5.7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5.7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5.7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5.7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5.7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5.7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5.7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5.7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5.7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5.7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5.7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5.7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5.7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5.7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5.7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5.7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5.7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5.7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5.7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5.7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5.7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5.7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5.7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5.7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5.7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5.7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5.7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5.7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5.7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5.7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5.7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5.7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5.7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5.7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5.7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5.7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5.7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5.7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5.7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5.7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5.7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5.7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5.7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5.7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5.7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5.7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5.7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5.7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5.7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5.7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5.7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5.7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5.7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5.7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5.7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5.7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5.7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5.7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5.7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5.7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5.7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5.7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5.7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5.7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5.7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5.7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5.7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5.7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5.7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5.7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5.7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5.7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5.7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5.7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5.7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5.7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5.7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5.7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5.7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5.7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5.7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5.7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5.7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5.7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5.7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5.7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5.7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5.7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5.7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5.7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5.7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5.7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5.7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5.7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5.7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5.7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5.7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5.7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5.7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5.7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5.7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5.7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5.7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5.7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5.7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5.7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5.7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5.7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5.7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5.7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5.7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5.7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5.7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5.7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5.7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5.7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5.7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5.7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5.7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5.7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5.7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5.7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5.7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5.7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5.7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5.7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5.7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5.7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5.7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5.7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5.7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5.7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5.7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5.7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5.7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5.7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5.7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5.7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5.7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5.7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5.7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5.7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5.7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5.7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5.7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5.7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5.7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5.7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5.7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5.7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5.7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5.7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5.7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5.7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5.7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5.7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5.7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5.7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5.7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5.7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5.7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5.7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5.7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5.7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5.7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5.7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5.7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5.7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5.7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5.7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5.7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5.7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5.7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5.7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5.7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5.7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5.7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5.7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5.7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5.7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5.7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5.7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5.7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5.7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5.7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5.7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5.7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5.7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5.7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5.7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5.7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5.7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5.7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5.7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5.7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5.7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5.7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5.7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5.7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5.7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5.7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5.7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5.7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5.7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5.7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5.7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5.7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5.7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5.7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5.7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5.7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5.7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5.7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5.7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5.7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5.7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5.7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5.7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5.7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5.7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5.7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5.7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5.7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5.7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5.7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5.7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5.7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5.7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5.7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5.7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5.7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5.7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5.7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5.7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5.7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5.7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5.7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5.7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5.7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5.7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5.7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5.7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5.7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5.7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5.7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5.7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5.7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5.7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5.7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5.7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5.7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5.7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5.7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5.7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5.7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5.7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5.7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5.7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5.7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5.7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5.7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5.7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5.7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5.7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5.7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5.7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5.7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5.7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5.7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5.7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5.7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5.7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5.7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5.7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5.7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5.7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5.7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5.7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5.7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5.7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5.7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5.7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5.7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5.7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5.7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5.7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5.7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5.7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5.7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5.7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5.7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5.7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5.7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5.7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5.7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5.7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5.7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5.7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5.7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5.7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5.7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5.7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5.7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5.7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5.7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5.7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5.7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5.7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5.7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5.7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5.7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5.7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5.7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5.7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5.7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5.7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5.7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5.7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5.7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5.7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5.7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5.7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5.7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5.7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5.7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5.7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5.7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5.7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5.7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5.7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5.7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5.7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5.7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5.7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5.7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5.7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5.7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5.7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5.7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5.7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5.7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5.7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5.7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5.7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5.7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5.7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5.7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5.7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5.7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5.7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5.7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5.7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5.7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5.7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5.7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5.7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5.7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5.7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5.7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5.7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5.7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5.7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5.7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5.7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5.7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5.7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5.7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5.7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5.7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5.7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5.7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5.7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5.7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5.7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5.7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5.7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5.7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5.7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5.7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5.7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5.7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5.7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5.7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5.7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5.7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5.7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5.7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5.7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5.7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5.7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5.7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5.7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5.7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5.7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5.7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5.7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5.7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5.7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5.7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5.7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5.7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5.7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5.7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5.7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5.7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5.7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5.7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5.7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5.7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5.7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5.7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5.7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5.7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5.7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5.7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5.7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5.7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5.7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5.7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11">
    <mergeCell ref="D19:E19"/>
    <mergeCell ref="D20:E20"/>
    <mergeCell ref="D23:E23"/>
    <mergeCell ref="B6:B10"/>
    <mergeCell ref="B12:C12"/>
    <mergeCell ref="B13:C13"/>
    <mergeCell ref="B14:C15"/>
    <mergeCell ref="D14:D15"/>
    <mergeCell ref="B18:C21"/>
    <mergeCell ref="D18:E18"/>
    <mergeCell ref="D21:E21"/>
  </mergeCells>
  <printOptions/>
  <pageMargins bottom="0.75" footer="0.0" header="0.0" left="0.7" right="0.7" top="0.75"/>
  <pageSetup orientation="portrait"/>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hidden="1" min="1" max="2" width="10.29"/>
    <col customWidth="1" min="3" max="3" width="5.14"/>
    <col customWidth="1" min="4" max="4" width="25.14"/>
    <col customWidth="1" min="5" max="5" width="35.43"/>
    <col customWidth="1" min="6" max="6" width="18.0"/>
    <col customWidth="1" min="7" max="7" width="41.14"/>
    <col customWidth="1" min="8" max="8" width="35.29"/>
    <col customWidth="1" min="9" max="9" width="31.43"/>
    <col customWidth="1" min="10" max="10" width="35.0"/>
    <col customWidth="1" min="11" max="11" width="17.0"/>
    <col customWidth="1" min="12" max="12" width="33.57"/>
    <col customWidth="1" min="13" max="13" width="19.14"/>
    <col customWidth="1" min="14" max="14" width="19.0"/>
    <col customWidth="1" min="15" max="15" width="36.86"/>
    <col customWidth="1" min="16" max="16" width="20.57"/>
    <col customWidth="1" min="17" max="17" width="30.14"/>
  </cols>
  <sheetData>
    <row r="1" ht="14.25" customHeight="1">
      <c r="A1" s="49" t="s">
        <v>15</v>
      </c>
      <c r="B1" s="49"/>
      <c r="C1" s="49"/>
      <c r="D1" s="49" t="s">
        <v>16</v>
      </c>
      <c r="E1" s="49" t="s">
        <v>17</v>
      </c>
      <c r="F1" s="50" t="s">
        <v>18</v>
      </c>
      <c r="G1" s="49" t="s">
        <v>19</v>
      </c>
      <c r="H1" s="51" t="s">
        <v>20</v>
      </c>
      <c r="I1" s="49" t="s">
        <v>21</v>
      </c>
      <c r="J1" s="49" t="s">
        <v>22</v>
      </c>
      <c r="K1" s="49" t="s">
        <v>23</v>
      </c>
      <c r="L1" s="51" t="s">
        <v>24</v>
      </c>
      <c r="M1" s="52" t="s">
        <v>25</v>
      </c>
      <c r="N1" s="50" t="s">
        <v>26</v>
      </c>
      <c r="O1" s="52" t="s">
        <v>27</v>
      </c>
      <c r="P1" s="53" t="s">
        <v>28</v>
      </c>
      <c r="Q1" s="52" t="s">
        <v>29</v>
      </c>
      <c r="R1" s="54"/>
      <c r="S1" s="54"/>
      <c r="T1" s="54"/>
      <c r="U1" s="54"/>
      <c r="V1" s="54"/>
      <c r="W1" s="54"/>
      <c r="X1" s="54"/>
      <c r="Y1" s="54"/>
      <c r="Z1" s="54"/>
    </row>
    <row r="2">
      <c r="A2" s="55" t="s">
        <v>30</v>
      </c>
      <c r="B2" s="55">
        <v>10.0</v>
      </c>
      <c r="C2" s="56"/>
      <c r="D2" s="56" t="s">
        <v>31</v>
      </c>
      <c r="E2" s="57" t="s">
        <v>32</v>
      </c>
      <c r="F2" s="57" t="s">
        <v>33</v>
      </c>
      <c r="G2" s="58" t="s">
        <v>34</v>
      </c>
      <c r="H2" s="58" t="s">
        <v>35</v>
      </c>
      <c r="I2" s="57" t="s">
        <v>36</v>
      </c>
      <c r="J2" s="58" t="s">
        <v>37</v>
      </c>
      <c r="K2" s="57" t="s">
        <v>38</v>
      </c>
      <c r="L2" s="58" t="s">
        <v>39</v>
      </c>
      <c r="M2" s="58" t="s">
        <v>40</v>
      </c>
      <c r="N2" s="57" t="s">
        <v>3</v>
      </c>
      <c r="O2" s="58" t="s">
        <v>41</v>
      </c>
      <c r="P2" s="57" t="s">
        <v>42</v>
      </c>
      <c r="Q2" s="59" t="s">
        <v>43</v>
      </c>
      <c r="R2" s="60"/>
      <c r="S2" s="61"/>
      <c r="T2" s="61"/>
      <c r="U2" s="61"/>
      <c r="V2" s="61"/>
      <c r="W2" s="61"/>
      <c r="X2" s="61"/>
      <c r="Y2" s="61"/>
      <c r="Z2" s="61"/>
    </row>
    <row r="3">
      <c r="A3" s="55" t="s">
        <v>30</v>
      </c>
      <c r="B3" s="55">
        <v>30.0</v>
      </c>
      <c r="C3" s="62"/>
      <c r="D3" s="56" t="s">
        <v>44</v>
      </c>
      <c r="E3" s="57" t="s">
        <v>45</v>
      </c>
      <c r="F3" s="58" t="s">
        <v>46</v>
      </c>
      <c r="G3" s="58" t="s">
        <v>47</v>
      </c>
      <c r="H3" s="58" t="s">
        <v>48</v>
      </c>
      <c r="I3" s="57" t="s">
        <v>49</v>
      </c>
      <c r="J3" s="57" t="s">
        <v>50</v>
      </c>
      <c r="K3" s="57" t="s">
        <v>38</v>
      </c>
      <c r="L3" s="58" t="s">
        <v>51</v>
      </c>
      <c r="M3" s="58" t="s">
        <v>40</v>
      </c>
      <c r="N3" s="57" t="s">
        <v>3</v>
      </c>
      <c r="O3" s="58" t="s">
        <v>41</v>
      </c>
      <c r="P3" s="57" t="s">
        <v>52</v>
      </c>
      <c r="Q3" s="59" t="s">
        <v>43</v>
      </c>
      <c r="R3" s="60"/>
      <c r="S3" s="61"/>
      <c r="T3" s="61"/>
      <c r="U3" s="61"/>
      <c r="V3" s="61"/>
      <c r="W3" s="61"/>
      <c r="X3" s="61"/>
      <c r="Y3" s="61"/>
      <c r="Z3" s="61"/>
    </row>
    <row r="4">
      <c r="A4" s="55" t="s">
        <v>30</v>
      </c>
      <c r="B4" s="55">
        <v>40.0</v>
      </c>
      <c r="C4" s="62"/>
      <c r="D4" s="56" t="s">
        <v>53</v>
      </c>
      <c r="E4" s="57" t="s">
        <v>54</v>
      </c>
      <c r="F4" s="58" t="s">
        <v>46</v>
      </c>
      <c r="G4" s="58" t="s">
        <v>55</v>
      </c>
      <c r="H4" s="58" t="s">
        <v>56</v>
      </c>
      <c r="I4" s="57" t="s">
        <v>57</v>
      </c>
      <c r="J4" s="58" t="s">
        <v>58</v>
      </c>
      <c r="K4" s="58" t="s">
        <v>59</v>
      </c>
      <c r="L4" s="58" t="s">
        <v>60</v>
      </c>
      <c r="M4" s="58" t="s">
        <v>40</v>
      </c>
      <c r="N4" s="57" t="s">
        <v>3</v>
      </c>
      <c r="O4" s="58" t="s">
        <v>41</v>
      </c>
      <c r="P4" s="57" t="s">
        <v>52</v>
      </c>
      <c r="Q4" s="59" t="s">
        <v>43</v>
      </c>
      <c r="R4" s="60"/>
      <c r="S4" s="61"/>
      <c r="T4" s="61"/>
      <c r="U4" s="61"/>
      <c r="V4" s="61"/>
      <c r="W4" s="61"/>
      <c r="X4" s="61"/>
      <c r="Y4" s="61"/>
      <c r="Z4" s="61"/>
    </row>
    <row r="5">
      <c r="A5" s="55" t="s">
        <v>30</v>
      </c>
      <c r="B5" s="55">
        <v>60.0</v>
      </c>
      <c r="C5" s="62"/>
      <c r="D5" s="56" t="s">
        <v>61</v>
      </c>
      <c r="E5" s="57" t="s">
        <v>62</v>
      </c>
      <c r="F5" s="58" t="s">
        <v>46</v>
      </c>
      <c r="G5" s="58" t="s">
        <v>63</v>
      </c>
      <c r="H5" s="58" t="s">
        <v>64</v>
      </c>
      <c r="I5" s="57" t="s">
        <v>65</v>
      </c>
      <c r="J5" s="58" t="s">
        <v>66</v>
      </c>
      <c r="K5" s="58" t="s">
        <v>59</v>
      </c>
      <c r="L5" s="58" t="s">
        <v>67</v>
      </c>
      <c r="M5" s="58" t="s">
        <v>40</v>
      </c>
      <c r="N5" s="57" t="s">
        <v>3</v>
      </c>
      <c r="O5" s="58" t="s">
        <v>41</v>
      </c>
      <c r="P5" s="57" t="s">
        <v>52</v>
      </c>
      <c r="Q5" s="59" t="s">
        <v>43</v>
      </c>
      <c r="R5" s="60"/>
      <c r="S5" s="61"/>
      <c r="T5" s="61"/>
      <c r="U5" s="61"/>
      <c r="V5" s="61"/>
      <c r="W5" s="61"/>
      <c r="X5" s="61"/>
      <c r="Y5" s="61"/>
      <c r="Z5" s="61"/>
    </row>
    <row r="6">
      <c r="A6" s="55" t="s">
        <v>30</v>
      </c>
      <c r="B6" s="55">
        <v>70.0</v>
      </c>
      <c r="C6" s="62"/>
      <c r="D6" s="56" t="s">
        <v>68</v>
      </c>
      <c r="E6" s="58" t="s">
        <v>69</v>
      </c>
      <c r="F6" s="58" t="s">
        <v>46</v>
      </c>
      <c r="G6" s="58" t="s">
        <v>70</v>
      </c>
      <c r="H6" s="58" t="s">
        <v>71</v>
      </c>
      <c r="I6" s="57" t="s">
        <v>72</v>
      </c>
      <c r="J6" s="58" t="s">
        <v>73</v>
      </c>
      <c r="K6" s="58" t="s">
        <v>59</v>
      </c>
      <c r="L6" s="58" t="s">
        <v>74</v>
      </c>
      <c r="M6" s="58" t="s">
        <v>40</v>
      </c>
      <c r="N6" s="57" t="s">
        <v>3</v>
      </c>
      <c r="O6" s="58" t="s">
        <v>41</v>
      </c>
      <c r="P6" s="57" t="s">
        <v>75</v>
      </c>
      <c r="Q6" s="59" t="s">
        <v>76</v>
      </c>
      <c r="R6" s="60"/>
      <c r="S6" s="61"/>
      <c r="T6" s="61"/>
      <c r="U6" s="61"/>
      <c r="V6" s="61"/>
      <c r="W6" s="61"/>
      <c r="X6" s="61"/>
      <c r="Y6" s="61"/>
      <c r="Z6" s="61"/>
    </row>
    <row r="7">
      <c r="A7" s="55" t="s">
        <v>30</v>
      </c>
      <c r="B7" s="55">
        <v>80.0</v>
      </c>
      <c r="C7" s="62"/>
      <c r="D7" s="56" t="s">
        <v>77</v>
      </c>
      <c r="E7" s="58" t="s">
        <v>78</v>
      </c>
      <c r="F7" s="58" t="s">
        <v>46</v>
      </c>
      <c r="G7" s="58" t="s">
        <v>79</v>
      </c>
      <c r="H7" s="58" t="s">
        <v>80</v>
      </c>
      <c r="I7" s="58"/>
      <c r="J7" s="58" t="s">
        <v>81</v>
      </c>
      <c r="K7" s="58" t="s">
        <v>82</v>
      </c>
      <c r="L7" s="58" t="s">
        <v>83</v>
      </c>
      <c r="M7" s="58" t="s">
        <v>84</v>
      </c>
      <c r="N7" s="58" t="s">
        <v>5</v>
      </c>
      <c r="O7" s="58" t="s">
        <v>41</v>
      </c>
      <c r="P7" s="58"/>
      <c r="Q7" s="59" t="s">
        <v>85</v>
      </c>
      <c r="R7" s="60"/>
      <c r="S7" s="61"/>
      <c r="T7" s="61"/>
      <c r="U7" s="61"/>
      <c r="V7" s="61"/>
      <c r="W7" s="61"/>
      <c r="X7" s="61"/>
      <c r="Y7" s="61"/>
      <c r="Z7" s="61"/>
    </row>
    <row r="8">
      <c r="A8" s="55"/>
      <c r="B8" s="55"/>
      <c r="C8" s="56"/>
      <c r="D8" s="56" t="s">
        <v>86</v>
      </c>
      <c r="E8" s="57" t="s">
        <v>87</v>
      </c>
      <c r="F8" s="57" t="s">
        <v>46</v>
      </c>
      <c r="G8" s="63" t="s">
        <v>88</v>
      </c>
      <c r="H8" s="64" t="s">
        <v>89</v>
      </c>
      <c r="I8" s="57" t="s">
        <v>90</v>
      </c>
      <c r="J8" s="63" t="s">
        <v>91</v>
      </c>
      <c r="K8" s="57" t="s">
        <v>38</v>
      </c>
      <c r="L8" s="57" t="s">
        <v>92</v>
      </c>
      <c r="M8" s="57" t="s">
        <v>93</v>
      </c>
      <c r="N8" s="57" t="s">
        <v>3</v>
      </c>
      <c r="O8" s="57" t="s">
        <v>41</v>
      </c>
      <c r="P8" s="57" t="s">
        <v>94</v>
      </c>
      <c r="Q8" s="59" t="s">
        <v>76</v>
      </c>
      <c r="R8" s="60"/>
      <c r="S8" s="61"/>
      <c r="T8" s="61"/>
      <c r="U8" s="61"/>
      <c r="V8" s="61"/>
      <c r="W8" s="61"/>
      <c r="X8" s="61"/>
      <c r="Y8" s="61"/>
      <c r="Z8" s="61"/>
    </row>
    <row r="9">
      <c r="A9" s="55"/>
      <c r="B9" s="55"/>
      <c r="C9" s="56"/>
      <c r="D9" s="65" t="s">
        <v>95</v>
      </c>
      <c r="E9" s="66" t="s">
        <v>96</v>
      </c>
      <c r="F9" s="57" t="s">
        <v>33</v>
      </c>
      <c r="G9" s="66" t="s">
        <v>97</v>
      </c>
      <c r="H9" s="66" t="s">
        <v>98</v>
      </c>
      <c r="I9" s="67" t="s">
        <v>99</v>
      </c>
      <c r="J9" s="66" t="s">
        <v>100</v>
      </c>
      <c r="K9" s="66" t="s">
        <v>101</v>
      </c>
      <c r="L9" s="66" t="s">
        <v>102</v>
      </c>
      <c r="M9" s="58" t="s">
        <v>40</v>
      </c>
      <c r="N9" s="57" t="s">
        <v>3</v>
      </c>
      <c r="O9" s="57" t="s">
        <v>41</v>
      </c>
      <c r="P9" s="57" t="s">
        <v>94</v>
      </c>
      <c r="Q9" s="59" t="s">
        <v>76</v>
      </c>
      <c r="R9" s="68"/>
      <c r="S9" s="68"/>
      <c r="T9" s="68"/>
      <c r="U9" s="68"/>
      <c r="V9" s="68"/>
      <c r="W9" s="68"/>
      <c r="X9" s="68"/>
      <c r="Y9" s="68"/>
      <c r="Z9" s="68"/>
    </row>
    <row r="10">
      <c r="A10" s="55"/>
      <c r="B10" s="55"/>
      <c r="C10" s="56"/>
      <c r="D10" s="65" t="s">
        <v>103</v>
      </c>
      <c r="E10" s="66" t="s">
        <v>104</v>
      </c>
      <c r="F10" s="57" t="s">
        <v>33</v>
      </c>
      <c r="G10" s="66" t="s">
        <v>105</v>
      </c>
      <c r="H10" s="66" t="s">
        <v>106</v>
      </c>
      <c r="I10" s="67" t="s">
        <v>99</v>
      </c>
      <c r="J10" s="66" t="s">
        <v>107</v>
      </c>
      <c r="K10" s="66" t="s">
        <v>108</v>
      </c>
      <c r="L10" s="66" t="s">
        <v>109</v>
      </c>
      <c r="M10" s="58" t="s">
        <v>40</v>
      </c>
      <c r="N10" s="57" t="s">
        <v>3</v>
      </c>
      <c r="O10" s="57" t="s">
        <v>110</v>
      </c>
      <c r="P10" s="57" t="s">
        <v>94</v>
      </c>
      <c r="Q10" s="59" t="s">
        <v>76</v>
      </c>
      <c r="R10" s="68"/>
      <c r="S10" s="68"/>
      <c r="T10" s="68"/>
      <c r="U10" s="68"/>
      <c r="V10" s="68"/>
      <c r="W10" s="68"/>
      <c r="X10" s="68"/>
      <c r="Y10" s="68"/>
      <c r="Z10" s="68"/>
    </row>
    <row r="11">
      <c r="A11" s="55"/>
      <c r="B11" s="55"/>
      <c r="C11" s="56"/>
      <c r="D11" s="65" t="s">
        <v>111</v>
      </c>
      <c r="E11" s="66" t="s">
        <v>112</v>
      </c>
      <c r="F11" s="57" t="s">
        <v>33</v>
      </c>
      <c r="G11" s="66" t="s">
        <v>113</v>
      </c>
      <c r="H11" s="66" t="s">
        <v>114</v>
      </c>
      <c r="I11" s="67" t="s">
        <v>115</v>
      </c>
      <c r="J11" s="66" t="s">
        <v>116</v>
      </c>
      <c r="K11" s="66" t="s">
        <v>108</v>
      </c>
      <c r="L11" s="66" t="s">
        <v>117</v>
      </c>
      <c r="M11" s="58" t="s">
        <v>40</v>
      </c>
      <c r="N11" s="57" t="s">
        <v>3</v>
      </c>
      <c r="O11" s="57" t="s">
        <v>110</v>
      </c>
      <c r="P11" s="67" t="s">
        <v>52</v>
      </c>
      <c r="Q11" s="59" t="s">
        <v>76</v>
      </c>
      <c r="R11" s="68"/>
      <c r="S11" s="68"/>
      <c r="T11" s="68"/>
      <c r="U11" s="68"/>
      <c r="V11" s="68"/>
      <c r="W11" s="68"/>
      <c r="X11" s="68"/>
      <c r="Y11" s="68"/>
      <c r="Z11" s="68"/>
    </row>
    <row r="12">
      <c r="A12" s="55"/>
      <c r="B12" s="55"/>
      <c r="C12" s="56"/>
      <c r="D12" s="65" t="s">
        <v>118</v>
      </c>
      <c r="E12" s="66" t="s">
        <v>119</v>
      </c>
      <c r="F12" s="57" t="s">
        <v>33</v>
      </c>
      <c r="G12" s="66" t="s">
        <v>120</v>
      </c>
      <c r="H12" s="66" t="s">
        <v>121</v>
      </c>
      <c r="I12" s="67" t="s">
        <v>122</v>
      </c>
      <c r="J12" s="66" t="s">
        <v>116</v>
      </c>
      <c r="K12" s="66" t="s">
        <v>108</v>
      </c>
      <c r="L12" s="66" t="s">
        <v>123</v>
      </c>
      <c r="M12" s="58" t="s">
        <v>40</v>
      </c>
      <c r="N12" s="57" t="s">
        <v>3</v>
      </c>
      <c r="O12" s="57" t="s">
        <v>110</v>
      </c>
      <c r="P12" s="67" t="s">
        <v>52</v>
      </c>
      <c r="Q12" s="59" t="s">
        <v>76</v>
      </c>
      <c r="R12" s="68"/>
      <c r="S12" s="68"/>
      <c r="T12" s="68"/>
      <c r="U12" s="68"/>
      <c r="V12" s="68"/>
      <c r="W12" s="68"/>
      <c r="X12" s="68"/>
      <c r="Y12" s="68"/>
      <c r="Z12" s="68"/>
    </row>
    <row r="13">
      <c r="A13" s="55"/>
      <c r="B13" s="55"/>
      <c r="C13" s="56"/>
      <c r="D13" s="69" t="s">
        <v>124</v>
      </c>
      <c r="E13" s="70" t="s">
        <v>125</v>
      </c>
      <c r="F13" s="57" t="s">
        <v>126</v>
      </c>
      <c r="G13" s="70" t="s">
        <v>127</v>
      </c>
      <c r="H13" s="70" t="s">
        <v>128</v>
      </c>
      <c r="I13" s="71" t="s">
        <v>129</v>
      </c>
      <c r="J13" s="70" t="s">
        <v>130</v>
      </c>
      <c r="K13" s="70" t="s">
        <v>108</v>
      </c>
      <c r="L13" s="70" t="s">
        <v>131</v>
      </c>
      <c r="M13" s="58" t="s">
        <v>40</v>
      </c>
      <c r="N13" s="57" t="s">
        <v>3</v>
      </c>
      <c r="O13" s="57" t="s">
        <v>110</v>
      </c>
      <c r="P13" s="71" t="s">
        <v>52</v>
      </c>
      <c r="Q13" s="59" t="s">
        <v>76</v>
      </c>
      <c r="R13" s="68"/>
      <c r="S13" s="68"/>
      <c r="T13" s="68"/>
      <c r="U13" s="68"/>
      <c r="V13" s="68"/>
      <c r="W13" s="68"/>
      <c r="X13" s="68"/>
      <c r="Y13" s="68"/>
      <c r="Z13" s="68"/>
    </row>
    <row r="14">
      <c r="A14" s="55"/>
      <c r="B14" s="55"/>
      <c r="C14" s="56"/>
      <c r="D14" s="69" t="s">
        <v>132</v>
      </c>
      <c r="E14" s="70" t="s">
        <v>133</v>
      </c>
      <c r="F14" s="57" t="s">
        <v>126</v>
      </c>
      <c r="G14" s="70" t="s">
        <v>134</v>
      </c>
      <c r="H14" s="70" t="s">
        <v>135</v>
      </c>
      <c r="I14" s="71" t="s">
        <v>136</v>
      </c>
      <c r="J14" s="70" t="s">
        <v>137</v>
      </c>
      <c r="K14" s="70" t="s">
        <v>138</v>
      </c>
      <c r="L14" s="70" t="s">
        <v>139</v>
      </c>
      <c r="M14" s="58" t="s">
        <v>40</v>
      </c>
      <c r="N14" s="57" t="s">
        <v>3</v>
      </c>
      <c r="O14" s="57" t="s">
        <v>110</v>
      </c>
      <c r="P14" s="71" t="s">
        <v>52</v>
      </c>
      <c r="Q14" s="59" t="s">
        <v>76</v>
      </c>
      <c r="R14" s="68"/>
      <c r="S14" s="68"/>
      <c r="T14" s="68"/>
      <c r="U14" s="68"/>
      <c r="V14" s="68"/>
      <c r="W14" s="68"/>
      <c r="X14" s="68"/>
      <c r="Y14" s="68"/>
      <c r="Z14" s="68"/>
    </row>
    <row r="15" ht="15.75" customHeight="1">
      <c r="A15" s="55" t="s">
        <v>30</v>
      </c>
      <c r="B15" s="55">
        <v>220.0</v>
      </c>
      <c r="C15" s="72"/>
      <c r="D15" s="72" t="s">
        <v>140</v>
      </c>
      <c r="E15" s="66" t="s">
        <v>141</v>
      </c>
      <c r="F15" s="65" t="s">
        <v>46</v>
      </c>
      <c r="G15" s="66" t="s">
        <v>142</v>
      </c>
      <c r="H15" s="66" t="s">
        <v>143</v>
      </c>
      <c r="I15" s="66" t="s">
        <v>144</v>
      </c>
      <c r="J15" s="73" t="s">
        <v>145</v>
      </c>
      <c r="K15" s="66" t="s">
        <v>146</v>
      </c>
      <c r="L15" s="66" t="s">
        <v>147</v>
      </c>
      <c r="M15" s="66" t="s">
        <v>40</v>
      </c>
      <c r="N15" s="66" t="s">
        <v>3</v>
      </c>
      <c r="O15" s="65" t="s">
        <v>41</v>
      </c>
      <c r="P15" s="66" t="s">
        <v>52</v>
      </c>
      <c r="Q15" s="59" t="s">
        <v>43</v>
      </c>
      <c r="R15" s="54"/>
      <c r="S15" s="54"/>
      <c r="T15" s="54"/>
      <c r="U15" s="54"/>
      <c r="V15" s="54"/>
      <c r="W15" s="54"/>
      <c r="X15" s="54"/>
      <c r="Y15" s="54"/>
      <c r="Z15" s="54"/>
    </row>
    <row r="16" ht="15.75" customHeight="1">
      <c r="A16" s="55" t="s">
        <v>30</v>
      </c>
      <c r="B16" s="55">
        <v>230.0</v>
      </c>
      <c r="C16" s="72"/>
      <c r="D16" s="72" t="s">
        <v>148</v>
      </c>
      <c r="E16" s="66" t="s">
        <v>149</v>
      </c>
      <c r="F16" s="65" t="s">
        <v>46</v>
      </c>
      <c r="G16" s="66" t="s">
        <v>150</v>
      </c>
      <c r="H16" s="66" t="s">
        <v>143</v>
      </c>
      <c r="I16" s="66" t="s">
        <v>151</v>
      </c>
      <c r="J16" s="73" t="s">
        <v>152</v>
      </c>
      <c r="K16" s="66" t="s">
        <v>153</v>
      </c>
      <c r="L16" s="66" t="s">
        <v>154</v>
      </c>
      <c r="M16" s="66" t="s">
        <v>40</v>
      </c>
      <c r="N16" s="66" t="s">
        <v>3</v>
      </c>
      <c r="O16" s="65" t="s">
        <v>41</v>
      </c>
      <c r="P16" s="66" t="s">
        <v>52</v>
      </c>
      <c r="Q16" s="59" t="s">
        <v>43</v>
      </c>
      <c r="R16" s="54"/>
      <c r="S16" s="54"/>
      <c r="T16" s="54"/>
      <c r="U16" s="54"/>
      <c r="V16" s="54"/>
      <c r="W16" s="54"/>
      <c r="X16" s="54"/>
      <c r="Y16" s="54"/>
      <c r="Z16" s="54"/>
    </row>
    <row r="17" ht="15.75" customHeight="1">
      <c r="A17" s="55" t="s">
        <v>30</v>
      </c>
      <c r="B17" s="55">
        <v>240.0</v>
      </c>
      <c r="C17" s="72"/>
      <c r="D17" s="72" t="s">
        <v>155</v>
      </c>
      <c r="E17" s="66" t="s">
        <v>156</v>
      </c>
      <c r="F17" s="65" t="s">
        <v>46</v>
      </c>
      <c r="G17" s="66" t="s">
        <v>157</v>
      </c>
      <c r="H17" s="66" t="s">
        <v>158</v>
      </c>
      <c r="I17" s="66" t="s">
        <v>159</v>
      </c>
      <c r="J17" s="73" t="s">
        <v>160</v>
      </c>
      <c r="K17" s="66" t="s">
        <v>153</v>
      </c>
      <c r="L17" s="66" t="s">
        <v>161</v>
      </c>
      <c r="M17" s="66" t="s">
        <v>40</v>
      </c>
      <c r="N17" s="66" t="s">
        <v>3</v>
      </c>
      <c r="O17" s="65" t="s">
        <v>41</v>
      </c>
      <c r="P17" s="66" t="s">
        <v>162</v>
      </c>
      <c r="Q17" s="59" t="s">
        <v>43</v>
      </c>
      <c r="R17" s="74"/>
      <c r="S17" s="74"/>
      <c r="T17" s="74"/>
      <c r="U17" s="74"/>
      <c r="V17" s="74"/>
      <c r="W17" s="74"/>
      <c r="X17" s="74"/>
      <c r="Y17" s="74"/>
      <c r="Z17" s="74"/>
      <c r="AA17" s="75"/>
    </row>
    <row r="18" ht="15.75" customHeight="1">
      <c r="A18" s="55" t="s">
        <v>30</v>
      </c>
      <c r="B18" s="55">
        <v>260.0</v>
      </c>
      <c r="C18" s="72"/>
      <c r="D18" s="72" t="s">
        <v>163</v>
      </c>
      <c r="E18" s="66" t="s">
        <v>164</v>
      </c>
      <c r="F18" s="65" t="s">
        <v>46</v>
      </c>
      <c r="G18" s="66" t="s">
        <v>165</v>
      </c>
      <c r="H18" s="66" t="s">
        <v>166</v>
      </c>
      <c r="I18" s="66" t="s">
        <v>167</v>
      </c>
      <c r="J18" s="66" t="s">
        <v>80</v>
      </c>
      <c r="K18" s="66" t="s">
        <v>153</v>
      </c>
      <c r="L18" s="66" t="s">
        <v>168</v>
      </c>
      <c r="M18" s="66" t="s">
        <v>40</v>
      </c>
      <c r="N18" s="66" t="s">
        <v>3</v>
      </c>
      <c r="O18" s="65" t="s">
        <v>41</v>
      </c>
      <c r="P18" s="66" t="s">
        <v>52</v>
      </c>
      <c r="Q18" s="59" t="s">
        <v>76</v>
      </c>
      <c r="R18" s="74"/>
      <c r="S18" s="74"/>
      <c r="T18" s="74"/>
      <c r="U18" s="74"/>
      <c r="V18" s="74"/>
      <c r="W18" s="74"/>
      <c r="X18" s="74"/>
      <c r="Y18" s="74"/>
      <c r="Z18" s="74"/>
      <c r="AA18" s="75"/>
    </row>
    <row r="19" ht="15.75" customHeight="1">
      <c r="A19" s="76" t="s">
        <v>30</v>
      </c>
      <c r="B19" s="76">
        <v>270.0</v>
      </c>
      <c r="C19" s="72"/>
      <c r="D19" s="72" t="s">
        <v>169</v>
      </c>
      <c r="E19" s="66" t="s">
        <v>170</v>
      </c>
      <c r="F19" s="65" t="s">
        <v>46</v>
      </c>
      <c r="G19" s="66" t="s">
        <v>171</v>
      </c>
      <c r="H19" s="66" t="s">
        <v>172</v>
      </c>
      <c r="I19" s="66" t="s">
        <v>173</v>
      </c>
      <c r="J19" s="73" t="s">
        <v>174</v>
      </c>
      <c r="K19" s="66" t="s">
        <v>175</v>
      </c>
      <c r="L19" s="66" t="s">
        <v>176</v>
      </c>
      <c r="M19" s="66" t="s">
        <v>40</v>
      </c>
      <c r="N19" s="66" t="s">
        <v>3</v>
      </c>
      <c r="O19" s="65" t="s">
        <v>41</v>
      </c>
      <c r="P19" s="66" t="s">
        <v>94</v>
      </c>
      <c r="Q19" s="59" t="s">
        <v>76</v>
      </c>
      <c r="R19" s="54"/>
      <c r="S19" s="54"/>
      <c r="T19" s="54"/>
      <c r="U19" s="54"/>
      <c r="V19" s="54"/>
      <c r="W19" s="54"/>
      <c r="X19" s="54"/>
      <c r="Y19" s="54"/>
      <c r="Z19" s="54"/>
    </row>
    <row r="20" ht="15.75" customHeight="1">
      <c r="A20" s="55" t="s">
        <v>30</v>
      </c>
      <c r="B20" s="55">
        <v>290.0</v>
      </c>
      <c r="C20" s="72"/>
      <c r="D20" s="72" t="s">
        <v>177</v>
      </c>
      <c r="E20" s="66" t="s">
        <v>178</v>
      </c>
      <c r="F20" s="65" t="s">
        <v>46</v>
      </c>
      <c r="G20" s="66" t="s">
        <v>179</v>
      </c>
      <c r="H20" s="66" t="s">
        <v>172</v>
      </c>
      <c r="I20" s="66" t="s">
        <v>180</v>
      </c>
      <c r="J20" s="73" t="s">
        <v>152</v>
      </c>
      <c r="K20" s="66" t="s">
        <v>146</v>
      </c>
      <c r="L20" s="66" t="s">
        <v>181</v>
      </c>
      <c r="M20" s="66" t="s">
        <v>40</v>
      </c>
      <c r="N20" s="66" t="s">
        <v>3</v>
      </c>
      <c r="O20" s="65" t="s">
        <v>41</v>
      </c>
      <c r="P20" s="66" t="s">
        <v>52</v>
      </c>
      <c r="Q20" s="59" t="s">
        <v>43</v>
      </c>
      <c r="R20" s="74"/>
      <c r="S20" s="74"/>
      <c r="T20" s="74"/>
      <c r="U20" s="74"/>
      <c r="V20" s="74"/>
      <c r="W20" s="74"/>
      <c r="X20" s="74"/>
      <c r="Y20" s="74"/>
      <c r="Z20" s="74"/>
      <c r="AA20" s="75"/>
    </row>
    <row r="21" ht="15.75" customHeight="1">
      <c r="A21" s="55" t="s">
        <v>30</v>
      </c>
      <c r="B21" s="55">
        <v>310.0</v>
      </c>
      <c r="C21" s="72"/>
      <c r="D21" s="72" t="s">
        <v>182</v>
      </c>
      <c r="E21" s="66" t="s">
        <v>183</v>
      </c>
      <c r="F21" s="65" t="s">
        <v>46</v>
      </c>
      <c r="G21" s="66" t="s">
        <v>184</v>
      </c>
      <c r="H21" s="66" t="s">
        <v>185</v>
      </c>
      <c r="I21" s="66" t="s">
        <v>186</v>
      </c>
      <c r="J21" s="73" t="s">
        <v>187</v>
      </c>
      <c r="K21" s="66" t="s">
        <v>188</v>
      </c>
      <c r="L21" s="66" t="s">
        <v>189</v>
      </c>
      <c r="M21" s="66" t="s">
        <v>40</v>
      </c>
      <c r="N21" s="66" t="s">
        <v>3</v>
      </c>
      <c r="O21" s="65" t="s">
        <v>41</v>
      </c>
      <c r="P21" s="66" t="s">
        <v>52</v>
      </c>
      <c r="Q21" s="59" t="s">
        <v>43</v>
      </c>
      <c r="R21" s="74"/>
      <c r="S21" s="74"/>
      <c r="T21" s="74"/>
      <c r="U21" s="74"/>
      <c r="V21" s="74"/>
      <c r="W21" s="74"/>
      <c r="X21" s="74"/>
      <c r="Y21" s="74"/>
      <c r="Z21" s="74"/>
      <c r="AA21" s="75"/>
    </row>
    <row r="22" ht="15.75" customHeight="1">
      <c r="A22" s="76"/>
      <c r="B22" s="76"/>
      <c r="C22" s="66"/>
      <c r="D22" s="66" t="s">
        <v>190</v>
      </c>
      <c r="E22" s="66" t="s">
        <v>191</v>
      </c>
      <c r="F22" s="65" t="s">
        <v>46</v>
      </c>
      <c r="G22" s="66" t="s">
        <v>192</v>
      </c>
      <c r="H22" s="66" t="s">
        <v>193</v>
      </c>
      <c r="I22" s="66" t="s">
        <v>194</v>
      </c>
      <c r="J22" s="73" t="s">
        <v>195</v>
      </c>
      <c r="K22" s="66" t="s">
        <v>196</v>
      </c>
      <c r="L22" s="66" t="s">
        <v>197</v>
      </c>
      <c r="M22" s="66" t="s">
        <v>40</v>
      </c>
      <c r="N22" s="66" t="s">
        <v>3</v>
      </c>
      <c r="O22" s="65" t="s">
        <v>41</v>
      </c>
      <c r="P22" s="66" t="s">
        <v>198</v>
      </c>
      <c r="Q22" s="59" t="s">
        <v>76</v>
      </c>
      <c r="R22" s="54"/>
      <c r="S22" s="54"/>
      <c r="T22" s="54"/>
      <c r="U22" s="54"/>
      <c r="V22" s="54"/>
      <c r="W22" s="54"/>
      <c r="X22" s="54"/>
      <c r="Y22" s="54"/>
      <c r="Z22" s="54"/>
    </row>
    <row r="23" ht="15.75" customHeight="1">
      <c r="A23" s="76"/>
      <c r="B23" s="76"/>
      <c r="C23" s="66"/>
      <c r="D23" s="66" t="s">
        <v>199</v>
      </c>
      <c r="E23" s="66" t="s">
        <v>200</v>
      </c>
      <c r="F23" s="65" t="s">
        <v>126</v>
      </c>
      <c r="G23" s="66" t="s">
        <v>201</v>
      </c>
      <c r="H23" s="66" t="s">
        <v>193</v>
      </c>
      <c r="I23" s="66" t="s">
        <v>202</v>
      </c>
      <c r="J23" s="73" t="s">
        <v>203</v>
      </c>
      <c r="K23" s="66" t="s">
        <v>196</v>
      </c>
      <c r="L23" s="66" t="s">
        <v>204</v>
      </c>
      <c r="M23" s="66" t="s">
        <v>40</v>
      </c>
      <c r="N23" s="66" t="s">
        <v>3</v>
      </c>
      <c r="O23" s="65" t="s">
        <v>41</v>
      </c>
      <c r="P23" s="66" t="s">
        <v>198</v>
      </c>
      <c r="Q23" s="59" t="s">
        <v>76</v>
      </c>
      <c r="R23" s="54"/>
      <c r="S23" s="54"/>
      <c r="T23" s="54"/>
      <c r="U23" s="54"/>
      <c r="V23" s="54"/>
      <c r="W23" s="54"/>
      <c r="X23" s="54"/>
      <c r="Y23" s="54"/>
      <c r="Z23" s="54"/>
    </row>
    <row r="24" ht="15.75" customHeight="1">
      <c r="A24" s="76"/>
      <c r="B24" s="76"/>
      <c r="C24" s="66"/>
      <c r="D24" s="66" t="s">
        <v>205</v>
      </c>
      <c r="E24" s="66" t="s">
        <v>206</v>
      </c>
      <c r="F24" s="65" t="s">
        <v>46</v>
      </c>
      <c r="G24" s="66" t="s">
        <v>207</v>
      </c>
      <c r="H24" s="66" t="s">
        <v>193</v>
      </c>
      <c r="I24" s="66" t="s">
        <v>208</v>
      </c>
      <c r="J24" s="73" t="s">
        <v>209</v>
      </c>
      <c r="K24" s="66" t="s">
        <v>196</v>
      </c>
      <c r="L24" s="66" t="s">
        <v>210</v>
      </c>
      <c r="M24" s="66" t="s">
        <v>40</v>
      </c>
      <c r="N24" s="66" t="s">
        <v>3</v>
      </c>
      <c r="O24" s="65" t="s">
        <v>41</v>
      </c>
      <c r="P24" s="66" t="s">
        <v>198</v>
      </c>
      <c r="Q24" s="59" t="s">
        <v>76</v>
      </c>
      <c r="R24" s="54"/>
      <c r="S24" s="54"/>
      <c r="T24" s="54"/>
      <c r="U24" s="54"/>
      <c r="V24" s="54"/>
      <c r="W24" s="54"/>
      <c r="X24" s="54"/>
      <c r="Y24" s="54"/>
      <c r="Z24" s="54"/>
    </row>
    <row r="25" ht="15.75" customHeight="1">
      <c r="A25" s="76"/>
      <c r="B25" s="76"/>
      <c r="C25" s="66"/>
      <c r="D25" s="66" t="s">
        <v>211</v>
      </c>
      <c r="E25" s="66" t="s">
        <v>212</v>
      </c>
      <c r="F25" s="65" t="s">
        <v>46</v>
      </c>
      <c r="G25" s="66" t="s">
        <v>213</v>
      </c>
      <c r="H25" s="66" t="s">
        <v>214</v>
      </c>
      <c r="I25" s="66" t="s">
        <v>215</v>
      </c>
      <c r="J25" s="73" t="s">
        <v>216</v>
      </c>
      <c r="K25" s="66" t="s">
        <v>196</v>
      </c>
      <c r="L25" s="66" t="s">
        <v>217</v>
      </c>
      <c r="M25" s="66" t="s">
        <v>40</v>
      </c>
      <c r="N25" s="66" t="s">
        <v>3</v>
      </c>
      <c r="O25" s="65" t="s">
        <v>41</v>
      </c>
      <c r="P25" s="66" t="s">
        <v>198</v>
      </c>
      <c r="Q25" s="59" t="s">
        <v>76</v>
      </c>
      <c r="R25" s="54"/>
      <c r="S25" s="54"/>
      <c r="T25" s="54"/>
      <c r="U25" s="54"/>
      <c r="V25" s="54"/>
      <c r="W25" s="54"/>
      <c r="X25" s="54"/>
      <c r="Y25" s="54"/>
      <c r="Z25" s="54"/>
    </row>
    <row r="26" ht="15.75" customHeight="1">
      <c r="A26" s="76"/>
      <c r="B26" s="76"/>
      <c r="C26" s="66"/>
      <c r="D26" s="66" t="s">
        <v>218</v>
      </c>
      <c r="E26" s="66" t="s">
        <v>219</v>
      </c>
      <c r="F26" s="65" t="s">
        <v>46</v>
      </c>
      <c r="G26" s="66" t="s">
        <v>220</v>
      </c>
      <c r="H26" s="66" t="s">
        <v>221</v>
      </c>
      <c r="I26" s="66" t="s">
        <v>222</v>
      </c>
      <c r="J26" s="73" t="s">
        <v>223</v>
      </c>
      <c r="K26" s="66" t="s">
        <v>196</v>
      </c>
      <c r="L26" s="66" t="s">
        <v>224</v>
      </c>
      <c r="M26" s="66" t="s">
        <v>40</v>
      </c>
      <c r="N26" s="66" t="s">
        <v>3</v>
      </c>
      <c r="O26" s="65" t="s">
        <v>41</v>
      </c>
      <c r="P26" s="66" t="s">
        <v>198</v>
      </c>
      <c r="Q26" s="59" t="s">
        <v>76</v>
      </c>
      <c r="R26" s="54"/>
      <c r="S26" s="54"/>
      <c r="T26" s="54"/>
      <c r="U26" s="54"/>
      <c r="V26" s="54"/>
      <c r="W26" s="54"/>
      <c r="X26" s="54"/>
      <c r="Y26" s="54"/>
      <c r="Z26" s="54"/>
    </row>
    <row r="27" ht="15.75" customHeight="1">
      <c r="A27" s="76" t="s">
        <v>30</v>
      </c>
      <c r="B27" s="76">
        <v>330.0</v>
      </c>
      <c r="C27" s="66"/>
      <c r="D27" s="66" t="s">
        <v>225</v>
      </c>
      <c r="E27" s="66" t="s">
        <v>226</v>
      </c>
      <c r="F27" s="65" t="s">
        <v>46</v>
      </c>
      <c r="G27" s="66" t="s">
        <v>227</v>
      </c>
      <c r="H27" s="66" t="s">
        <v>143</v>
      </c>
      <c r="I27" s="66" t="s">
        <v>228</v>
      </c>
      <c r="J27" s="73" t="s">
        <v>229</v>
      </c>
      <c r="K27" s="66" t="s">
        <v>230</v>
      </c>
      <c r="L27" s="66" t="s">
        <v>231</v>
      </c>
      <c r="M27" s="66" t="s">
        <v>40</v>
      </c>
      <c r="N27" s="66" t="s">
        <v>3</v>
      </c>
      <c r="O27" s="65" t="s">
        <v>41</v>
      </c>
      <c r="P27" s="66" t="s">
        <v>52</v>
      </c>
      <c r="Q27" s="59" t="s">
        <v>43</v>
      </c>
      <c r="R27" s="54"/>
      <c r="S27" s="54"/>
      <c r="T27" s="54"/>
      <c r="U27" s="54"/>
      <c r="V27" s="54"/>
      <c r="W27" s="54"/>
      <c r="X27" s="54"/>
      <c r="Y27" s="54"/>
      <c r="Z27" s="54"/>
    </row>
    <row r="28" ht="15.75" customHeight="1">
      <c r="A28" s="76" t="s">
        <v>30</v>
      </c>
      <c r="B28" s="76">
        <v>340.0</v>
      </c>
      <c r="C28" s="66"/>
      <c r="D28" s="66" t="s">
        <v>232</v>
      </c>
      <c r="E28" s="66" t="s">
        <v>233</v>
      </c>
      <c r="F28" s="65" t="s">
        <v>46</v>
      </c>
      <c r="G28" s="66" t="s">
        <v>234</v>
      </c>
      <c r="H28" s="66" t="s">
        <v>143</v>
      </c>
      <c r="I28" s="66" t="s">
        <v>235</v>
      </c>
      <c r="J28" s="73" t="s">
        <v>152</v>
      </c>
      <c r="K28" s="66" t="s">
        <v>230</v>
      </c>
      <c r="L28" s="66" t="s">
        <v>154</v>
      </c>
      <c r="M28" s="66" t="s">
        <v>40</v>
      </c>
      <c r="N28" s="66" t="s">
        <v>3</v>
      </c>
      <c r="O28" s="65" t="s">
        <v>41</v>
      </c>
      <c r="P28" s="66" t="s">
        <v>52</v>
      </c>
      <c r="Q28" s="59" t="s">
        <v>43</v>
      </c>
      <c r="R28" s="54"/>
      <c r="S28" s="54"/>
      <c r="T28" s="54"/>
      <c r="U28" s="54"/>
      <c r="V28" s="54"/>
      <c r="W28" s="54"/>
      <c r="X28" s="54"/>
      <c r="Y28" s="54"/>
      <c r="Z28" s="54"/>
    </row>
    <row r="29" ht="15.75" customHeight="1">
      <c r="A29" s="76" t="s">
        <v>30</v>
      </c>
      <c r="B29" s="76">
        <v>350.0</v>
      </c>
      <c r="C29" s="77"/>
      <c r="D29" s="66" t="s">
        <v>236</v>
      </c>
      <c r="E29" s="66" t="s">
        <v>237</v>
      </c>
      <c r="F29" s="65" t="s">
        <v>46</v>
      </c>
      <c r="G29" s="66" t="s">
        <v>238</v>
      </c>
      <c r="H29" s="66" t="s">
        <v>239</v>
      </c>
      <c r="I29" s="66" t="s">
        <v>240</v>
      </c>
      <c r="J29" s="73" t="s">
        <v>241</v>
      </c>
      <c r="K29" s="66" t="s">
        <v>230</v>
      </c>
      <c r="L29" s="66" t="s">
        <v>161</v>
      </c>
      <c r="M29" s="66" t="s">
        <v>40</v>
      </c>
      <c r="N29" s="66" t="s">
        <v>3</v>
      </c>
      <c r="O29" s="65" t="s">
        <v>41</v>
      </c>
      <c r="P29" s="66" t="s">
        <v>242</v>
      </c>
      <c r="Q29" s="59" t="s">
        <v>43</v>
      </c>
      <c r="R29" s="54"/>
      <c r="S29" s="54"/>
      <c r="T29" s="54"/>
      <c r="U29" s="54"/>
      <c r="V29" s="54"/>
      <c r="W29" s="54"/>
      <c r="X29" s="54"/>
      <c r="Y29" s="54"/>
      <c r="Z29" s="54"/>
    </row>
    <row r="30" ht="15.75" customHeight="1">
      <c r="A30" s="76" t="s">
        <v>30</v>
      </c>
      <c r="B30" s="76">
        <v>370.0</v>
      </c>
      <c r="C30" s="78"/>
      <c r="D30" s="72" t="s">
        <v>243</v>
      </c>
      <c r="E30" s="66" t="s">
        <v>244</v>
      </c>
      <c r="F30" s="65" t="s">
        <v>245</v>
      </c>
      <c r="G30" s="66" t="s">
        <v>246</v>
      </c>
      <c r="H30" s="66" t="s">
        <v>247</v>
      </c>
      <c r="I30" s="66" t="s">
        <v>248</v>
      </c>
      <c r="J30" s="66" t="s">
        <v>80</v>
      </c>
      <c r="K30" s="66" t="s">
        <v>230</v>
      </c>
      <c r="L30" s="66" t="s">
        <v>249</v>
      </c>
      <c r="M30" s="66" t="s">
        <v>40</v>
      </c>
      <c r="N30" s="66" t="s">
        <v>3</v>
      </c>
      <c r="O30" s="65" t="s">
        <v>41</v>
      </c>
      <c r="P30" s="66" t="s">
        <v>52</v>
      </c>
      <c r="Q30" s="59" t="s">
        <v>43</v>
      </c>
      <c r="R30" s="54"/>
      <c r="S30" s="54"/>
      <c r="T30" s="54"/>
      <c r="U30" s="54"/>
      <c r="V30" s="54"/>
      <c r="W30" s="54"/>
      <c r="X30" s="54"/>
      <c r="Y30" s="54"/>
      <c r="Z30" s="54"/>
    </row>
    <row r="31" ht="15.75" customHeight="1">
      <c r="A31" s="76" t="s">
        <v>30</v>
      </c>
      <c r="B31" s="76">
        <v>380.0</v>
      </c>
      <c r="C31" s="78"/>
      <c r="D31" s="72" t="s">
        <v>250</v>
      </c>
      <c r="E31" s="66" t="s">
        <v>251</v>
      </c>
      <c r="F31" s="65" t="s">
        <v>46</v>
      </c>
      <c r="G31" s="66" t="s">
        <v>252</v>
      </c>
      <c r="H31" s="66" t="s">
        <v>253</v>
      </c>
      <c r="I31" s="66" t="s">
        <v>254</v>
      </c>
      <c r="J31" s="66" t="s">
        <v>80</v>
      </c>
      <c r="K31" s="66" t="s">
        <v>230</v>
      </c>
      <c r="L31" s="66" t="s">
        <v>255</v>
      </c>
      <c r="M31" s="66" t="s">
        <v>40</v>
      </c>
      <c r="N31" s="66" t="s">
        <v>3</v>
      </c>
      <c r="O31" s="65" t="s">
        <v>41</v>
      </c>
      <c r="P31" s="66" t="s">
        <v>52</v>
      </c>
      <c r="Q31" s="59" t="s">
        <v>43</v>
      </c>
      <c r="R31" s="54"/>
      <c r="S31" s="54"/>
      <c r="T31" s="54"/>
      <c r="U31" s="54"/>
      <c r="V31" s="54"/>
      <c r="W31" s="54"/>
      <c r="X31" s="54"/>
      <c r="Y31" s="54"/>
      <c r="Z31" s="54"/>
    </row>
    <row r="32" ht="15.75" customHeight="1">
      <c r="A32" s="76" t="s">
        <v>30</v>
      </c>
      <c r="B32" s="76">
        <v>390.0</v>
      </c>
      <c r="C32" s="78"/>
      <c r="D32" s="72" t="s">
        <v>256</v>
      </c>
      <c r="E32" s="66" t="s">
        <v>257</v>
      </c>
      <c r="F32" s="65" t="s">
        <v>46</v>
      </c>
      <c r="G32" s="66" t="s">
        <v>258</v>
      </c>
      <c r="H32" s="66" t="s">
        <v>253</v>
      </c>
      <c r="I32" s="66" t="s">
        <v>259</v>
      </c>
      <c r="J32" s="73" t="s">
        <v>260</v>
      </c>
      <c r="K32" s="66" t="s">
        <v>230</v>
      </c>
      <c r="L32" s="66" t="s">
        <v>261</v>
      </c>
      <c r="M32" s="66" t="s">
        <v>40</v>
      </c>
      <c r="N32" s="66" t="s">
        <v>3</v>
      </c>
      <c r="O32" s="65" t="s">
        <v>41</v>
      </c>
      <c r="P32" s="66" t="s">
        <v>52</v>
      </c>
      <c r="Q32" s="59" t="s">
        <v>43</v>
      </c>
      <c r="R32" s="54"/>
      <c r="S32" s="54"/>
      <c r="T32" s="54"/>
      <c r="U32" s="54"/>
      <c r="V32" s="54"/>
      <c r="W32" s="54"/>
      <c r="X32" s="54"/>
      <c r="Y32" s="54"/>
      <c r="Z32" s="54"/>
    </row>
    <row r="33" ht="15.75" customHeight="1">
      <c r="A33" s="76" t="s">
        <v>30</v>
      </c>
      <c r="B33" s="76">
        <v>410.0</v>
      </c>
      <c r="C33" s="72"/>
      <c r="D33" s="72" t="s">
        <v>262</v>
      </c>
      <c r="E33" s="66" t="s">
        <v>263</v>
      </c>
      <c r="F33" s="65" t="s">
        <v>46</v>
      </c>
      <c r="G33" s="66" t="s">
        <v>264</v>
      </c>
      <c r="H33" s="66" t="s">
        <v>253</v>
      </c>
      <c r="I33" s="66" t="s">
        <v>265</v>
      </c>
      <c r="J33" s="73" t="s">
        <v>266</v>
      </c>
      <c r="K33" s="66" t="s">
        <v>230</v>
      </c>
      <c r="L33" s="66" t="s">
        <v>181</v>
      </c>
      <c r="M33" s="66" t="s">
        <v>40</v>
      </c>
      <c r="N33" s="66" t="s">
        <v>3</v>
      </c>
      <c r="O33" s="65" t="s">
        <v>41</v>
      </c>
      <c r="P33" s="66" t="s">
        <v>198</v>
      </c>
      <c r="Q33" s="59" t="s">
        <v>76</v>
      </c>
      <c r="R33" s="54"/>
      <c r="S33" s="54"/>
      <c r="T33" s="54"/>
      <c r="U33" s="54"/>
      <c r="V33" s="54"/>
      <c r="W33" s="54"/>
      <c r="X33" s="54"/>
      <c r="Y33" s="54"/>
      <c r="Z33" s="54"/>
    </row>
    <row r="34" ht="15.75" customHeight="1">
      <c r="A34" s="76" t="s">
        <v>30</v>
      </c>
      <c r="B34" s="76">
        <v>420.0</v>
      </c>
      <c r="C34" s="72"/>
      <c r="D34" s="72" t="s">
        <v>267</v>
      </c>
      <c r="E34" s="66" t="s">
        <v>268</v>
      </c>
      <c r="F34" s="65" t="s">
        <v>126</v>
      </c>
      <c r="G34" s="66" t="s">
        <v>269</v>
      </c>
      <c r="H34" s="66" t="s">
        <v>270</v>
      </c>
      <c r="I34" s="66" t="s">
        <v>271</v>
      </c>
      <c r="J34" s="73" t="s">
        <v>272</v>
      </c>
      <c r="K34" s="66" t="s">
        <v>230</v>
      </c>
      <c r="L34" s="66" t="s">
        <v>273</v>
      </c>
      <c r="M34" s="66" t="s">
        <v>40</v>
      </c>
      <c r="N34" s="66" t="s">
        <v>3</v>
      </c>
      <c r="O34" s="65" t="s">
        <v>41</v>
      </c>
      <c r="P34" s="66" t="s">
        <v>198</v>
      </c>
      <c r="Q34" s="59" t="s">
        <v>76</v>
      </c>
      <c r="R34" s="54"/>
      <c r="S34" s="54"/>
      <c r="T34" s="54"/>
      <c r="U34" s="54"/>
      <c r="V34" s="54"/>
      <c r="W34" s="54"/>
      <c r="X34" s="54"/>
      <c r="Y34" s="54"/>
      <c r="Z34" s="54"/>
    </row>
    <row r="35" ht="15.75" customHeight="1">
      <c r="A35" s="76" t="s">
        <v>30</v>
      </c>
      <c r="B35" s="76">
        <v>430.0</v>
      </c>
      <c r="C35" s="72"/>
      <c r="D35" s="72" t="s">
        <v>274</v>
      </c>
      <c r="E35" s="66" t="s">
        <v>275</v>
      </c>
      <c r="F35" s="65" t="s">
        <v>46</v>
      </c>
      <c r="G35" s="66" t="s">
        <v>276</v>
      </c>
      <c r="H35" s="66" t="s">
        <v>277</v>
      </c>
      <c r="I35" s="66" t="s">
        <v>278</v>
      </c>
      <c r="J35" s="73" t="s">
        <v>279</v>
      </c>
      <c r="K35" s="66" t="s">
        <v>230</v>
      </c>
      <c r="L35" s="66" t="s">
        <v>189</v>
      </c>
      <c r="M35" s="66" t="s">
        <v>40</v>
      </c>
      <c r="N35" s="66" t="s">
        <v>3</v>
      </c>
      <c r="O35" s="65" t="s">
        <v>41</v>
      </c>
      <c r="P35" s="66" t="s">
        <v>198</v>
      </c>
      <c r="Q35" s="59" t="s">
        <v>76</v>
      </c>
      <c r="R35" s="54"/>
      <c r="S35" s="54"/>
      <c r="T35" s="54"/>
      <c r="U35" s="54"/>
      <c r="V35" s="54"/>
      <c r="W35" s="54"/>
      <c r="X35" s="54"/>
      <c r="Y35" s="54"/>
      <c r="Z35" s="54"/>
    </row>
    <row r="36" ht="15.75" customHeight="1">
      <c r="A36" s="76"/>
      <c r="B36" s="76"/>
      <c r="C36" s="72"/>
      <c r="D36" s="72" t="s">
        <v>280</v>
      </c>
      <c r="E36" s="66" t="s">
        <v>281</v>
      </c>
      <c r="F36" s="65" t="s">
        <v>126</v>
      </c>
      <c r="G36" s="66" t="s">
        <v>282</v>
      </c>
      <c r="H36" s="66" t="s">
        <v>283</v>
      </c>
      <c r="I36" s="66" t="s">
        <v>284</v>
      </c>
      <c r="J36" s="73" t="s">
        <v>285</v>
      </c>
      <c r="K36" s="66" t="s">
        <v>230</v>
      </c>
      <c r="L36" s="66" t="s">
        <v>286</v>
      </c>
      <c r="M36" s="66" t="s">
        <v>40</v>
      </c>
      <c r="N36" s="66" t="s">
        <v>3</v>
      </c>
      <c r="O36" s="65" t="s">
        <v>41</v>
      </c>
      <c r="P36" s="66" t="s">
        <v>198</v>
      </c>
      <c r="Q36" s="59" t="s">
        <v>76</v>
      </c>
      <c r="R36" s="54"/>
      <c r="S36" s="54"/>
      <c r="T36" s="54"/>
      <c r="U36" s="54"/>
      <c r="V36" s="54"/>
      <c r="W36" s="54"/>
      <c r="X36" s="54"/>
      <c r="Y36" s="54"/>
      <c r="Z36" s="54"/>
    </row>
    <row r="37" ht="15.75" customHeight="1">
      <c r="A37" s="76"/>
      <c r="B37" s="76"/>
      <c r="C37" s="72"/>
      <c r="D37" s="72" t="s">
        <v>287</v>
      </c>
      <c r="E37" s="66" t="s">
        <v>288</v>
      </c>
      <c r="F37" s="65" t="s">
        <v>46</v>
      </c>
      <c r="G37" s="66" t="s">
        <v>289</v>
      </c>
      <c r="H37" s="66" t="s">
        <v>290</v>
      </c>
      <c r="I37" s="66" t="s">
        <v>291</v>
      </c>
      <c r="J37" s="73" t="s">
        <v>292</v>
      </c>
      <c r="K37" s="66" t="s">
        <v>230</v>
      </c>
      <c r="L37" s="66" t="s">
        <v>293</v>
      </c>
      <c r="M37" s="66" t="s">
        <v>40</v>
      </c>
      <c r="N37" s="66" t="s">
        <v>3</v>
      </c>
      <c r="O37" s="65" t="s">
        <v>41</v>
      </c>
      <c r="P37" s="66" t="s">
        <v>198</v>
      </c>
      <c r="Q37" s="59" t="s">
        <v>76</v>
      </c>
      <c r="R37" s="54"/>
      <c r="S37" s="54"/>
      <c r="T37" s="54"/>
      <c r="U37" s="54"/>
      <c r="V37" s="54"/>
      <c r="W37" s="54"/>
      <c r="X37" s="54"/>
      <c r="Y37" s="54"/>
      <c r="Z37" s="54"/>
    </row>
    <row r="38" ht="15.75" customHeight="1">
      <c r="A38" s="76" t="s">
        <v>30</v>
      </c>
      <c r="B38" s="76">
        <v>450.0</v>
      </c>
      <c r="C38" s="72"/>
      <c r="D38" s="72" t="s">
        <v>294</v>
      </c>
      <c r="E38" s="66" t="s">
        <v>295</v>
      </c>
      <c r="F38" s="65" t="s">
        <v>46</v>
      </c>
      <c r="G38" s="66" t="s">
        <v>296</v>
      </c>
      <c r="H38" s="66" t="s">
        <v>143</v>
      </c>
      <c r="I38" s="66" t="s">
        <v>297</v>
      </c>
      <c r="J38" s="73" t="s">
        <v>298</v>
      </c>
      <c r="K38" s="66" t="s">
        <v>299</v>
      </c>
      <c r="L38" s="66" t="s">
        <v>300</v>
      </c>
      <c r="M38" s="66" t="s">
        <v>40</v>
      </c>
      <c r="N38" s="66" t="s">
        <v>3</v>
      </c>
      <c r="O38" s="65" t="s">
        <v>41</v>
      </c>
      <c r="P38" s="66" t="s">
        <v>52</v>
      </c>
      <c r="Q38" s="59" t="s">
        <v>43</v>
      </c>
      <c r="R38" s="54"/>
      <c r="S38" s="54"/>
      <c r="T38" s="54"/>
      <c r="U38" s="54"/>
      <c r="V38" s="54"/>
      <c r="W38" s="54"/>
      <c r="X38" s="54"/>
      <c r="Y38" s="54"/>
      <c r="Z38" s="54"/>
    </row>
    <row r="39" ht="15.75" customHeight="1">
      <c r="A39" s="76" t="s">
        <v>30</v>
      </c>
      <c r="B39" s="76">
        <v>460.0</v>
      </c>
      <c r="C39" s="72"/>
      <c r="D39" s="72" t="s">
        <v>301</v>
      </c>
      <c r="E39" s="66" t="s">
        <v>302</v>
      </c>
      <c r="F39" s="65" t="s">
        <v>46</v>
      </c>
      <c r="G39" s="66" t="s">
        <v>303</v>
      </c>
      <c r="H39" s="66" t="s">
        <v>143</v>
      </c>
      <c r="I39" s="66" t="s">
        <v>304</v>
      </c>
      <c r="J39" s="73" t="s">
        <v>305</v>
      </c>
      <c r="K39" s="66" t="s">
        <v>299</v>
      </c>
      <c r="L39" s="66" t="s">
        <v>154</v>
      </c>
      <c r="M39" s="66" t="s">
        <v>40</v>
      </c>
      <c r="N39" s="66" t="s">
        <v>3</v>
      </c>
      <c r="O39" s="65" t="s">
        <v>41</v>
      </c>
      <c r="P39" s="66" t="s">
        <v>52</v>
      </c>
      <c r="Q39" s="59" t="s">
        <v>43</v>
      </c>
      <c r="R39" s="54"/>
      <c r="S39" s="54"/>
      <c r="T39" s="54"/>
      <c r="U39" s="54"/>
      <c r="V39" s="54"/>
      <c r="W39" s="54"/>
      <c r="X39" s="54"/>
      <c r="Y39" s="54"/>
      <c r="Z39" s="54"/>
    </row>
    <row r="40" ht="15.75" customHeight="1">
      <c r="A40" s="76" t="s">
        <v>30</v>
      </c>
      <c r="B40" s="76">
        <v>490.0</v>
      </c>
      <c r="C40" s="78"/>
      <c r="D40" s="72" t="s">
        <v>306</v>
      </c>
      <c r="E40" s="66" t="s">
        <v>307</v>
      </c>
      <c r="F40" s="65" t="s">
        <v>46</v>
      </c>
      <c r="G40" s="66" t="s">
        <v>308</v>
      </c>
      <c r="H40" s="66" t="s">
        <v>309</v>
      </c>
      <c r="I40" s="66" t="s">
        <v>310</v>
      </c>
      <c r="J40" s="73" t="s">
        <v>311</v>
      </c>
      <c r="K40" s="66" t="s">
        <v>299</v>
      </c>
      <c r="L40" s="66" t="s">
        <v>161</v>
      </c>
      <c r="M40" s="66" t="s">
        <v>40</v>
      </c>
      <c r="N40" s="66" t="s">
        <v>3</v>
      </c>
      <c r="O40" s="65" t="s">
        <v>41</v>
      </c>
      <c r="P40" s="66" t="s">
        <v>52</v>
      </c>
      <c r="Q40" s="59" t="s">
        <v>43</v>
      </c>
      <c r="R40" s="54"/>
      <c r="S40" s="54"/>
      <c r="T40" s="54"/>
      <c r="U40" s="54"/>
      <c r="V40" s="54"/>
      <c r="W40" s="54"/>
      <c r="X40" s="54"/>
      <c r="Y40" s="54"/>
      <c r="Z40" s="54"/>
    </row>
    <row r="41" ht="15.75" customHeight="1">
      <c r="A41" s="76" t="s">
        <v>30</v>
      </c>
      <c r="B41" s="76">
        <v>500.0</v>
      </c>
      <c r="C41" s="78"/>
      <c r="D41" s="72" t="s">
        <v>312</v>
      </c>
      <c r="E41" s="66" t="s">
        <v>313</v>
      </c>
      <c r="F41" s="65" t="s">
        <v>245</v>
      </c>
      <c r="G41" s="66" t="s">
        <v>246</v>
      </c>
      <c r="H41" s="66" t="s">
        <v>314</v>
      </c>
      <c r="I41" s="66" t="s">
        <v>315</v>
      </c>
      <c r="J41" s="66" t="s">
        <v>80</v>
      </c>
      <c r="K41" s="66" t="s">
        <v>299</v>
      </c>
      <c r="L41" s="66" t="s">
        <v>316</v>
      </c>
      <c r="M41" s="66" t="s">
        <v>40</v>
      </c>
      <c r="N41" s="66" t="s">
        <v>3</v>
      </c>
      <c r="O41" s="65" t="s">
        <v>41</v>
      </c>
      <c r="P41" s="66" t="s">
        <v>52</v>
      </c>
      <c r="Q41" s="59" t="s">
        <v>43</v>
      </c>
      <c r="R41" s="54"/>
      <c r="S41" s="54"/>
      <c r="T41" s="54"/>
      <c r="U41" s="54"/>
      <c r="V41" s="54"/>
      <c r="W41" s="54"/>
      <c r="X41" s="54"/>
      <c r="Y41" s="54"/>
      <c r="Z41" s="54"/>
    </row>
    <row r="42" ht="15.75" customHeight="1">
      <c r="A42" s="76" t="s">
        <v>30</v>
      </c>
      <c r="B42" s="76">
        <v>510.0</v>
      </c>
      <c r="C42" s="72"/>
      <c r="D42" s="72" t="s">
        <v>317</v>
      </c>
      <c r="E42" s="66" t="s">
        <v>318</v>
      </c>
      <c r="F42" s="65" t="s">
        <v>46</v>
      </c>
      <c r="G42" s="66" t="s">
        <v>319</v>
      </c>
      <c r="H42" s="66" t="s">
        <v>320</v>
      </c>
      <c r="I42" s="66" t="s">
        <v>321</v>
      </c>
      <c r="J42" s="73" t="s">
        <v>322</v>
      </c>
      <c r="K42" s="66" t="s">
        <v>299</v>
      </c>
      <c r="L42" s="66" t="s">
        <v>323</v>
      </c>
      <c r="M42" s="66" t="s">
        <v>40</v>
      </c>
      <c r="N42" s="66" t="s">
        <v>3</v>
      </c>
      <c r="O42" s="65" t="s">
        <v>41</v>
      </c>
      <c r="P42" s="66" t="s">
        <v>242</v>
      </c>
      <c r="Q42" s="59" t="s">
        <v>43</v>
      </c>
      <c r="R42" s="54"/>
      <c r="S42" s="54"/>
      <c r="T42" s="54"/>
      <c r="U42" s="54"/>
      <c r="V42" s="54"/>
      <c r="W42" s="54"/>
      <c r="X42" s="54"/>
      <c r="Y42" s="54"/>
      <c r="Z42" s="54"/>
    </row>
    <row r="43" ht="15.75" customHeight="1">
      <c r="A43" s="76" t="s">
        <v>30</v>
      </c>
      <c r="B43" s="76">
        <v>560.0</v>
      </c>
      <c r="C43" s="72"/>
      <c r="D43" s="72" t="s">
        <v>324</v>
      </c>
      <c r="E43" s="66" t="s">
        <v>325</v>
      </c>
      <c r="F43" s="65" t="s">
        <v>46</v>
      </c>
      <c r="G43" s="66" t="s">
        <v>326</v>
      </c>
      <c r="H43" s="66" t="s">
        <v>327</v>
      </c>
      <c r="I43" s="66" t="s">
        <v>328</v>
      </c>
      <c r="J43" s="73" t="s">
        <v>329</v>
      </c>
      <c r="K43" s="66" t="s">
        <v>299</v>
      </c>
      <c r="L43" s="66" t="s">
        <v>330</v>
      </c>
      <c r="M43" s="66" t="s">
        <v>40</v>
      </c>
      <c r="N43" s="66" t="s">
        <v>3</v>
      </c>
      <c r="O43" s="65" t="s">
        <v>41</v>
      </c>
      <c r="P43" s="66" t="s">
        <v>198</v>
      </c>
      <c r="Q43" s="59" t="s">
        <v>76</v>
      </c>
      <c r="R43" s="54"/>
      <c r="S43" s="54"/>
      <c r="T43" s="54"/>
      <c r="U43" s="54"/>
      <c r="V43" s="54"/>
      <c r="W43" s="54"/>
      <c r="X43" s="54"/>
      <c r="Y43" s="54"/>
      <c r="Z43" s="54"/>
    </row>
    <row r="44" ht="15.75" customHeight="1">
      <c r="A44" s="76"/>
      <c r="B44" s="76"/>
      <c r="C44" s="72"/>
      <c r="D44" s="72" t="s">
        <v>331</v>
      </c>
      <c r="E44" s="66" t="s">
        <v>332</v>
      </c>
      <c r="F44" s="66" t="s">
        <v>46</v>
      </c>
      <c r="G44" s="66" t="s">
        <v>333</v>
      </c>
      <c r="H44" s="66" t="s">
        <v>334</v>
      </c>
      <c r="I44" s="66" t="s">
        <v>335</v>
      </c>
      <c r="J44" s="73" t="s">
        <v>336</v>
      </c>
      <c r="K44" s="66" t="s">
        <v>299</v>
      </c>
      <c r="L44" s="66" t="s">
        <v>337</v>
      </c>
      <c r="M44" s="66" t="s">
        <v>40</v>
      </c>
      <c r="N44" s="66" t="s">
        <v>3</v>
      </c>
      <c r="O44" s="66" t="s">
        <v>41</v>
      </c>
      <c r="P44" s="66" t="s">
        <v>198</v>
      </c>
      <c r="Q44" s="59" t="s">
        <v>76</v>
      </c>
      <c r="R44" s="54"/>
      <c r="S44" s="54"/>
      <c r="T44" s="54"/>
      <c r="U44" s="54"/>
      <c r="V44" s="54"/>
      <c r="W44" s="54"/>
      <c r="X44" s="54"/>
      <c r="Y44" s="54"/>
      <c r="Z44" s="54"/>
    </row>
    <row r="45" ht="15.75" customHeight="1">
      <c r="A45" s="76"/>
      <c r="B45" s="76"/>
      <c r="C45" s="72"/>
      <c r="D45" s="72" t="s">
        <v>338</v>
      </c>
      <c r="E45" s="66" t="s">
        <v>339</v>
      </c>
      <c r="F45" s="66" t="s">
        <v>46</v>
      </c>
      <c r="G45" s="66" t="s">
        <v>340</v>
      </c>
      <c r="H45" s="66" t="s">
        <v>341</v>
      </c>
      <c r="I45" s="66" t="s">
        <v>342</v>
      </c>
      <c r="J45" s="73" t="s">
        <v>343</v>
      </c>
      <c r="K45" s="66" t="s">
        <v>299</v>
      </c>
      <c r="L45" s="66" t="s">
        <v>344</v>
      </c>
      <c r="M45" s="66" t="s">
        <v>40</v>
      </c>
      <c r="N45" s="66" t="s">
        <v>3</v>
      </c>
      <c r="O45" s="66" t="s">
        <v>41</v>
      </c>
      <c r="P45" s="66" t="s">
        <v>198</v>
      </c>
      <c r="Q45" s="59" t="s">
        <v>76</v>
      </c>
      <c r="R45" s="54"/>
      <c r="S45" s="54"/>
      <c r="T45" s="54"/>
      <c r="U45" s="54"/>
      <c r="V45" s="54"/>
      <c r="W45" s="54"/>
      <c r="X45" s="54"/>
      <c r="Y45" s="54"/>
      <c r="Z45" s="54"/>
    </row>
    <row r="46" ht="15.75" customHeight="1">
      <c r="A46" s="76"/>
      <c r="B46" s="76"/>
      <c r="C46" s="72"/>
      <c r="D46" s="72" t="s">
        <v>345</v>
      </c>
      <c r="E46" s="66" t="s">
        <v>346</v>
      </c>
      <c r="F46" s="66" t="s">
        <v>126</v>
      </c>
      <c r="G46" s="66" t="s">
        <v>347</v>
      </c>
      <c r="H46" s="66" t="s">
        <v>348</v>
      </c>
      <c r="I46" s="66" t="s">
        <v>349</v>
      </c>
      <c r="J46" s="73" t="s">
        <v>350</v>
      </c>
      <c r="K46" s="66" t="s">
        <v>299</v>
      </c>
      <c r="L46" s="66" t="s">
        <v>351</v>
      </c>
      <c r="M46" s="66" t="s">
        <v>40</v>
      </c>
      <c r="N46" s="66" t="s">
        <v>3</v>
      </c>
      <c r="O46" s="66" t="s">
        <v>41</v>
      </c>
      <c r="P46" s="66" t="s">
        <v>198</v>
      </c>
      <c r="Q46" s="59" t="s">
        <v>76</v>
      </c>
      <c r="R46" s="54"/>
      <c r="S46" s="54"/>
      <c r="T46" s="54"/>
      <c r="U46" s="54"/>
      <c r="V46" s="54"/>
      <c r="W46" s="54"/>
      <c r="X46" s="54"/>
      <c r="Y46" s="54"/>
      <c r="Z46" s="54"/>
    </row>
    <row r="47" ht="15.75" customHeight="1">
      <c r="A47" s="76" t="s">
        <v>30</v>
      </c>
      <c r="B47" s="76">
        <v>570.0</v>
      </c>
      <c r="C47" s="72"/>
      <c r="D47" s="72" t="s">
        <v>352</v>
      </c>
      <c r="E47" s="66" t="s">
        <v>353</v>
      </c>
      <c r="F47" s="66" t="s">
        <v>126</v>
      </c>
      <c r="G47" s="66" t="s">
        <v>354</v>
      </c>
      <c r="H47" s="66" t="s">
        <v>355</v>
      </c>
      <c r="I47" s="66" t="s">
        <v>356</v>
      </c>
      <c r="J47" s="73" t="s">
        <v>357</v>
      </c>
      <c r="K47" s="66" t="s">
        <v>358</v>
      </c>
      <c r="L47" s="66" t="s">
        <v>359</v>
      </c>
      <c r="M47" s="66" t="s">
        <v>40</v>
      </c>
      <c r="N47" s="66" t="s">
        <v>3</v>
      </c>
      <c r="O47" s="66" t="s">
        <v>41</v>
      </c>
      <c r="P47" s="66" t="s">
        <v>198</v>
      </c>
      <c r="Q47" s="59" t="s">
        <v>76</v>
      </c>
      <c r="R47" s="54"/>
      <c r="S47" s="54"/>
      <c r="T47" s="54"/>
      <c r="U47" s="54"/>
      <c r="V47" s="54"/>
      <c r="W47" s="54"/>
      <c r="X47" s="54"/>
      <c r="Y47" s="54"/>
      <c r="Z47" s="54"/>
    </row>
    <row r="48" ht="15.75" customHeight="1">
      <c r="A48" s="76" t="s">
        <v>30</v>
      </c>
      <c r="B48" s="76">
        <v>580.0</v>
      </c>
      <c r="C48" s="72"/>
      <c r="D48" s="72" t="s">
        <v>360</v>
      </c>
      <c r="E48" s="66" t="s">
        <v>361</v>
      </c>
      <c r="F48" s="66" t="s">
        <v>46</v>
      </c>
      <c r="G48" s="66" t="s">
        <v>362</v>
      </c>
      <c r="H48" s="66" t="s">
        <v>363</v>
      </c>
      <c r="I48" s="66" t="s">
        <v>364</v>
      </c>
      <c r="J48" s="73" t="s">
        <v>365</v>
      </c>
      <c r="K48" s="66" t="s">
        <v>358</v>
      </c>
      <c r="L48" s="66" t="s">
        <v>366</v>
      </c>
      <c r="M48" s="66" t="s">
        <v>40</v>
      </c>
      <c r="N48" s="66" t="s">
        <v>3</v>
      </c>
      <c r="O48" s="66" t="s">
        <v>41</v>
      </c>
      <c r="P48" s="66" t="s">
        <v>198</v>
      </c>
      <c r="Q48" s="59" t="s">
        <v>76</v>
      </c>
      <c r="R48" s="54"/>
      <c r="S48" s="54"/>
      <c r="T48" s="54"/>
      <c r="U48" s="54"/>
      <c r="V48" s="54"/>
      <c r="W48" s="54"/>
      <c r="X48" s="54"/>
      <c r="Y48" s="54"/>
      <c r="Z48" s="54"/>
    </row>
    <row r="49">
      <c r="A49" s="55" t="s">
        <v>30</v>
      </c>
      <c r="B49" s="55">
        <v>20.0</v>
      </c>
      <c r="C49" s="62"/>
      <c r="D49" s="56" t="s">
        <v>367</v>
      </c>
      <c r="E49" s="57" t="s">
        <v>368</v>
      </c>
      <c r="F49" s="58" t="s">
        <v>46</v>
      </c>
      <c r="G49" s="58" t="s">
        <v>369</v>
      </c>
      <c r="H49" s="58" t="s">
        <v>370</v>
      </c>
      <c r="I49" s="57" t="s">
        <v>371</v>
      </c>
      <c r="J49" s="57" t="s">
        <v>372</v>
      </c>
      <c r="K49" s="57" t="s">
        <v>373</v>
      </c>
      <c r="L49" s="58" t="s">
        <v>374</v>
      </c>
      <c r="M49" s="58" t="s">
        <v>40</v>
      </c>
      <c r="N49" s="57" t="s">
        <v>3</v>
      </c>
      <c r="O49" s="58" t="s">
        <v>41</v>
      </c>
      <c r="P49" s="57" t="s">
        <v>52</v>
      </c>
      <c r="Q49" s="59" t="s">
        <v>43</v>
      </c>
      <c r="R49" s="79"/>
      <c r="S49" s="80"/>
      <c r="T49" s="80"/>
      <c r="U49" s="80"/>
      <c r="V49" s="80"/>
      <c r="W49" s="80"/>
      <c r="X49" s="80"/>
      <c r="Y49" s="80"/>
      <c r="Z49" s="80"/>
      <c r="AA49" s="75"/>
    </row>
    <row r="50">
      <c r="A50" s="76" t="s">
        <v>30</v>
      </c>
      <c r="B50" s="76">
        <v>40.0</v>
      </c>
      <c r="C50" s="62"/>
      <c r="D50" s="56" t="s">
        <v>375</v>
      </c>
      <c r="E50" s="57" t="s">
        <v>54</v>
      </c>
      <c r="F50" s="58" t="s">
        <v>46</v>
      </c>
      <c r="G50" s="58" t="s">
        <v>55</v>
      </c>
      <c r="H50" s="58" t="s">
        <v>56</v>
      </c>
      <c r="I50" s="57" t="s">
        <v>376</v>
      </c>
      <c r="J50" s="58" t="s">
        <v>58</v>
      </c>
      <c r="K50" s="58" t="s">
        <v>59</v>
      </c>
      <c r="L50" s="58" t="s">
        <v>60</v>
      </c>
      <c r="M50" s="58" t="s">
        <v>40</v>
      </c>
      <c r="N50" s="57" t="s">
        <v>3</v>
      </c>
      <c r="O50" s="58" t="s">
        <v>41</v>
      </c>
      <c r="P50" s="57" t="s">
        <v>52</v>
      </c>
      <c r="Q50" s="59" t="s">
        <v>43</v>
      </c>
      <c r="R50" s="60"/>
      <c r="S50" s="61"/>
      <c r="T50" s="61"/>
      <c r="U50" s="61"/>
      <c r="V50" s="61"/>
      <c r="W50" s="61"/>
      <c r="X50" s="61"/>
      <c r="Y50" s="61"/>
      <c r="Z50" s="61"/>
    </row>
    <row r="51">
      <c r="A51" s="76" t="s">
        <v>30</v>
      </c>
      <c r="B51" s="76">
        <v>50.0</v>
      </c>
      <c r="C51" s="62"/>
      <c r="D51" s="56" t="s">
        <v>377</v>
      </c>
      <c r="E51" s="57" t="s">
        <v>378</v>
      </c>
      <c r="F51" s="58" t="s">
        <v>46</v>
      </c>
      <c r="G51" s="58" t="s">
        <v>379</v>
      </c>
      <c r="H51" s="58" t="s">
        <v>380</v>
      </c>
      <c r="I51" s="57" t="s">
        <v>381</v>
      </c>
      <c r="J51" s="81" t="s">
        <v>382</v>
      </c>
      <c r="K51" s="58" t="s">
        <v>383</v>
      </c>
      <c r="L51" s="58" t="s">
        <v>384</v>
      </c>
      <c r="M51" s="58" t="s">
        <v>40</v>
      </c>
      <c r="N51" s="57" t="s">
        <v>3</v>
      </c>
      <c r="O51" s="58" t="s">
        <v>41</v>
      </c>
      <c r="P51" s="57" t="s">
        <v>52</v>
      </c>
      <c r="Q51" s="59" t="s">
        <v>85</v>
      </c>
      <c r="R51" s="60"/>
      <c r="S51" s="61"/>
      <c r="T51" s="61"/>
      <c r="U51" s="61"/>
      <c r="V51" s="61"/>
      <c r="W51" s="61"/>
      <c r="X51" s="61"/>
      <c r="Y51" s="61"/>
      <c r="Z51" s="61"/>
    </row>
    <row r="52">
      <c r="A52" s="76" t="s">
        <v>30</v>
      </c>
      <c r="B52" s="76">
        <v>60.0</v>
      </c>
      <c r="C52" s="62"/>
      <c r="D52" s="56" t="s">
        <v>385</v>
      </c>
      <c r="E52" s="57" t="s">
        <v>62</v>
      </c>
      <c r="F52" s="58" t="s">
        <v>46</v>
      </c>
      <c r="G52" s="58" t="s">
        <v>63</v>
      </c>
      <c r="H52" s="58" t="s">
        <v>64</v>
      </c>
      <c r="I52" s="57" t="s">
        <v>65</v>
      </c>
      <c r="J52" s="58" t="s">
        <v>66</v>
      </c>
      <c r="K52" s="58" t="s">
        <v>59</v>
      </c>
      <c r="L52" s="58" t="s">
        <v>67</v>
      </c>
      <c r="M52" s="58" t="s">
        <v>40</v>
      </c>
      <c r="N52" s="57" t="s">
        <v>3</v>
      </c>
      <c r="O52" s="58" t="s">
        <v>41</v>
      </c>
      <c r="P52" s="57" t="s">
        <v>52</v>
      </c>
      <c r="Q52" s="59" t="s">
        <v>43</v>
      </c>
      <c r="R52" s="60"/>
      <c r="S52" s="61"/>
      <c r="T52" s="61"/>
      <c r="U52" s="61"/>
      <c r="V52" s="61"/>
      <c r="W52" s="61"/>
      <c r="X52" s="61"/>
      <c r="Y52" s="61"/>
      <c r="Z52" s="61"/>
    </row>
    <row r="53" ht="15.75" customHeight="1">
      <c r="A53" s="82"/>
      <c r="B53" s="83"/>
      <c r="C53" s="84"/>
      <c r="D53" s="85" t="s">
        <v>386</v>
      </c>
      <c r="E53" s="86" t="s">
        <v>387</v>
      </c>
      <c r="F53" s="86" t="s">
        <v>46</v>
      </c>
      <c r="G53" s="86" t="s">
        <v>388</v>
      </c>
      <c r="H53" s="86" t="s">
        <v>389</v>
      </c>
      <c r="I53" s="86" t="s">
        <v>390</v>
      </c>
      <c r="J53" s="87" t="s">
        <v>391</v>
      </c>
      <c r="K53" s="86" t="s">
        <v>392</v>
      </c>
      <c r="L53" s="86" t="s">
        <v>393</v>
      </c>
      <c r="M53" s="86" t="s">
        <v>40</v>
      </c>
      <c r="N53" s="86" t="s">
        <v>3</v>
      </c>
      <c r="O53" s="86" t="s">
        <v>41</v>
      </c>
      <c r="P53" s="86" t="s">
        <v>52</v>
      </c>
      <c r="Q53" s="88" t="s">
        <v>85</v>
      </c>
      <c r="R53" s="89"/>
      <c r="S53" s="90"/>
      <c r="T53" s="90"/>
      <c r="U53" s="90"/>
      <c r="V53" s="90"/>
      <c r="W53" s="90"/>
      <c r="X53" s="90"/>
      <c r="Y53" s="90"/>
      <c r="Z53" s="90"/>
      <c r="AA53" s="91"/>
    </row>
    <row r="54" ht="15.75" customHeight="1">
      <c r="A54" s="82"/>
      <c r="B54" s="83"/>
      <c r="C54" s="84"/>
      <c r="D54" s="85" t="s">
        <v>394</v>
      </c>
      <c r="E54" s="86" t="s">
        <v>395</v>
      </c>
      <c r="F54" s="86" t="s">
        <v>46</v>
      </c>
      <c r="G54" s="86" t="s">
        <v>396</v>
      </c>
      <c r="H54" s="86" t="s">
        <v>389</v>
      </c>
      <c r="I54" s="86" t="s">
        <v>397</v>
      </c>
      <c r="J54" s="87" t="s">
        <v>398</v>
      </c>
      <c r="K54" s="86" t="s">
        <v>392</v>
      </c>
      <c r="L54" s="86" t="s">
        <v>399</v>
      </c>
      <c r="M54" s="86" t="s">
        <v>40</v>
      </c>
      <c r="N54" s="86" t="s">
        <v>3</v>
      </c>
      <c r="O54" s="86" t="s">
        <v>41</v>
      </c>
      <c r="P54" s="86" t="s">
        <v>400</v>
      </c>
      <c r="Q54" s="88" t="s">
        <v>85</v>
      </c>
      <c r="R54" s="89"/>
      <c r="S54" s="90"/>
      <c r="T54" s="90"/>
      <c r="U54" s="90"/>
      <c r="V54" s="90"/>
      <c r="W54" s="90"/>
      <c r="X54" s="90"/>
      <c r="Y54" s="90"/>
      <c r="Z54" s="90"/>
      <c r="AA54" s="91"/>
    </row>
    <row r="55" ht="15.75" customHeight="1">
      <c r="A55" s="82"/>
      <c r="B55" s="83"/>
      <c r="C55" s="84"/>
      <c r="D55" s="85" t="s">
        <v>401</v>
      </c>
      <c r="E55" s="86" t="s">
        <v>402</v>
      </c>
      <c r="F55" s="86" t="s">
        <v>46</v>
      </c>
      <c r="G55" s="86" t="s">
        <v>403</v>
      </c>
      <c r="H55" s="86" t="s">
        <v>404</v>
      </c>
      <c r="I55" s="86" t="s">
        <v>405</v>
      </c>
      <c r="J55" s="86" t="s">
        <v>80</v>
      </c>
      <c r="K55" s="86" t="s">
        <v>392</v>
      </c>
      <c r="L55" s="86" t="s">
        <v>406</v>
      </c>
      <c r="M55" s="86" t="s">
        <v>40</v>
      </c>
      <c r="N55" s="86" t="s">
        <v>3</v>
      </c>
      <c r="O55" s="86" t="s">
        <v>110</v>
      </c>
      <c r="P55" s="86" t="s">
        <v>52</v>
      </c>
      <c r="Q55" s="88" t="s">
        <v>85</v>
      </c>
      <c r="R55" s="89"/>
      <c r="S55" s="90"/>
      <c r="T55" s="90"/>
      <c r="U55" s="90"/>
      <c r="V55" s="90"/>
      <c r="W55" s="90"/>
      <c r="X55" s="90"/>
      <c r="Y55" s="90"/>
      <c r="Z55" s="90"/>
      <c r="AA55" s="91"/>
    </row>
    <row r="56" ht="15.75" customHeight="1">
      <c r="A56" s="82"/>
      <c r="B56" s="83"/>
      <c r="C56" s="84"/>
      <c r="D56" s="92" t="s">
        <v>407</v>
      </c>
      <c r="E56" s="93" t="s">
        <v>408</v>
      </c>
      <c r="F56" s="86" t="s">
        <v>409</v>
      </c>
      <c r="G56" s="93" t="s">
        <v>410</v>
      </c>
      <c r="H56" s="93" t="s">
        <v>411</v>
      </c>
      <c r="I56" s="93" t="s">
        <v>412</v>
      </c>
      <c r="J56" s="93" t="s">
        <v>413</v>
      </c>
      <c r="K56" s="93" t="s">
        <v>414</v>
      </c>
      <c r="L56" s="93" t="s">
        <v>415</v>
      </c>
      <c r="M56" s="94" t="s">
        <v>40</v>
      </c>
      <c r="N56" s="86" t="s">
        <v>3</v>
      </c>
      <c r="O56" s="86" t="s">
        <v>41</v>
      </c>
      <c r="P56" s="86" t="s">
        <v>52</v>
      </c>
      <c r="Q56" s="88" t="s">
        <v>85</v>
      </c>
      <c r="R56" s="95"/>
      <c r="S56" s="95"/>
      <c r="T56" s="95"/>
      <c r="U56" s="95"/>
      <c r="V56" s="95"/>
      <c r="W56" s="95"/>
      <c r="X56" s="95"/>
      <c r="Y56" s="95"/>
      <c r="Z56" s="95"/>
      <c r="AA56" s="91"/>
    </row>
    <row r="57" ht="15.75" customHeight="1">
      <c r="A57" s="82"/>
      <c r="B57" s="83"/>
      <c r="C57" s="84"/>
      <c r="D57" s="92" t="s">
        <v>416</v>
      </c>
      <c r="E57" s="93" t="s">
        <v>417</v>
      </c>
      <c r="F57" s="86" t="s">
        <v>418</v>
      </c>
      <c r="G57" s="93" t="s">
        <v>419</v>
      </c>
      <c r="H57" s="93" t="s">
        <v>420</v>
      </c>
      <c r="I57" s="93" t="s">
        <v>421</v>
      </c>
      <c r="J57" s="93" t="s">
        <v>422</v>
      </c>
      <c r="K57" s="93" t="s">
        <v>423</v>
      </c>
      <c r="L57" s="93" t="s">
        <v>424</v>
      </c>
      <c r="M57" s="93" t="s">
        <v>40</v>
      </c>
      <c r="N57" s="96" t="s">
        <v>425</v>
      </c>
      <c r="O57" s="86" t="s">
        <v>41</v>
      </c>
      <c r="P57" s="86" t="s">
        <v>52</v>
      </c>
      <c r="Q57" s="88" t="s">
        <v>85</v>
      </c>
      <c r="R57" s="95"/>
      <c r="S57" s="95"/>
      <c r="T57" s="95"/>
      <c r="U57" s="95"/>
      <c r="V57" s="95"/>
      <c r="W57" s="95"/>
      <c r="X57" s="95"/>
      <c r="Y57" s="95"/>
      <c r="Z57" s="95"/>
      <c r="AA57" s="91"/>
    </row>
    <row r="58" ht="15.75" customHeight="1">
      <c r="A58" s="82"/>
      <c r="B58" s="83"/>
      <c r="C58" s="84"/>
      <c r="D58" s="92" t="s">
        <v>426</v>
      </c>
      <c r="E58" s="93" t="s">
        <v>427</v>
      </c>
      <c r="F58" s="86" t="s">
        <v>46</v>
      </c>
      <c r="G58" s="93" t="s">
        <v>428</v>
      </c>
      <c r="H58" s="93" t="s">
        <v>429</v>
      </c>
      <c r="I58" s="93" t="s">
        <v>430</v>
      </c>
      <c r="J58" s="93" t="s">
        <v>431</v>
      </c>
      <c r="K58" s="93" t="s">
        <v>414</v>
      </c>
      <c r="L58" s="93" t="s">
        <v>432</v>
      </c>
      <c r="M58" s="93" t="s">
        <v>40</v>
      </c>
      <c r="N58" s="96" t="s">
        <v>425</v>
      </c>
      <c r="O58" s="86" t="s">
        <v>41</v>
      </c>
      <c r="P58" s="86" t="s">
        <v>433</v>
      </c>
      <c r="Q58" s="88" t="s">
        <v>85</v>
      </c>
      <c r="R58" s="95"/>
      <c r="S58" s="95"/>
      <c r="T58" s="95"/>
      <c r="U58" s="95"/>
      <c r="V58" s="95"/>
      <c r="W58" s="95"/>
      <c r="X58" s="95"/>
      <c r="Y58" s="95"/>
      <c r="Z58" s="95"/>
      <c r="AA58" s="91"/>
    </row>
    <row r="59" ht="15.75" customHeight="1">
      <c r="A59" s="82"/>
      <c r="B59" s="83"/>
      <c r="C59" s="97"/>
      <c r="D59" s="66" t="s">
        <v>434</v>
      </c>
      <c r="E59" s="66" t="s">
        <v>435</v>
      </c>
      <c r="F59" s="96" t="s">
        <v>126</v>
      </c>
      <c r="G59" s="66" t="s">
        <v>436</v>
      </c>
      <c r="H59" s="66" t="s">
        <v>437</v>
      </c>
      <c r="I59" s="66" t="s">
        <v>438</v>
      </c>
      <c r="J59" s="66" t="s">
        <v>80</v>
      </c>
      <c r="K59" s="66" t="s">
        <v>439</v>
      </c>
      <c r="L59" s="66" t="s">
        <v>440</v>
      </c>
      <c r="M59" s="93" t="s">
        <v>40</v>
      </c>
      <c r="N59" s="96" t="s">
        <v>3</v>
      </c>
      <c r="O59" s="86" t="s">
        <v>41</v>
      </c>
      <c r="P59" s="67" t="s">
        <v>52</v>
      </c>
      <c r="Q59" s="59" t="s">
        <v>43</v>
      </c>
      <c r="R59" s="54"/>
      <c r="S59" s="54"/>
      <c r="T59" s="54"/>
      <c r="U59" s="54"/>
      <c r="V59" s="54"/>
      <c r="W59" s="54"/>
      <c r="X59" s="54"/>
      <c r="Y59" s="54"/>
      <c r="Z59" s="54"/>
    </row>
    <row r="60" ht="15.75" customHeight="1">
      <c r="A60" s="82"/>
      <c r="B60" s="83"/>
      <c r="C60" s="97"/>
      <c r="D60" s="66" t="s">
        <v>441</v>
      </c>
      <c r="E60" s="66" t="s">
        <v>442</v>
      </c>
      <c r="F60" s="96" t="s">
        <v>126</v>
      </c>
      <c r="G60" s="66" t="s">
        <v>443</v>
      </c>
      <c r="H60" s="66" t="s">
        <v>444</v>
      </c>
      <c r="I60" s="66" t="s">
        <v>445</v>
      </c>
      <c r="J60" s="66" t="s">
        <v>80</v>
      </c>
      <c r="K60" s="66" t="s">
        <v>439</v>
      </c>
      <c r="L60" s="66" t="s">
        <v>446</v>
      </c>
      <c r="M60" s="93" t="s">
        <v>40</v>
      </c>
      <c r="N60" s="96" t="s">
        <v>3</v>
      </c>
      <c r="O60" s="86" t="s">
        <v>41</v>
      </c>
      <c r="P60" s="67" t="s">
        <v>52</v>
      </c>
      <c r="Q60" s="59" t="s">
        <v>76</v>
      </c>
      <c r="R60" s="54"/>
      <c r="S60" s="54"/>
      <c r="T60" s="54"/>
      <c r="U60" s="54"/>
      <c r="V60" s="54"/>
      <c r="W60" s="54"/>
      <c r="X60" s="54"/>
      <c r="Y60" s="54"/>
      <c r="Z60" s="54"/>
    </row>
    <row r="61" ht="15.75" customHeight="1">
      <c r="A61" s="82"/>
      <c r="B61" s="83"/>
      <c r="C61" s="97"/>
      <c r="D61" s="66" t="s">
        <v>447</v>
      </c>
      <c r="E61" s="66" t="s">
        <v>448</v>
      </c>
      <c r="F61" s="86" t="s">
        <v>46</v>
      </c>
      <c r="G61" s="66" t="s">
        <v>449</v>
      </c>
      <c r="H61" s="66" t="s">
        <v>450</v>
      </c>
      <c r="I61" s="66" t="s">
        <v>451</v>
      </c>
      <c r="J61" s="66" t="s">
        <v>452</v>
      </c>
      <c r="K61" s="66" t="s">
        <v>439</v>
      </c>
      <c r="L61" s="66" t="s">
        <v>453</v>
      </c>
      <c r="M61" s="93" t="s">
        <v>40</v>
      </c>
      <c r="N61" s="96" t="s">
        <v>3</v>
      </c>
      <c r="O61" s="86" t="s">
        <v>41</v>
      </c>
      <c r="P61" s="67" t="s">
        <v>52</v>
      </c>
      <c r="Q61" s="59" t="s">
        <v>43</v>
      </c>
      <c r="R61" s="54"/>
      <c r="S61" s="54"/>
      <c r="T61" s="54"/>
      <c r="U61" s="54"/>
      <c r="V61" s="54"/>
      <c r="W61" s="54"/>
      <c r="X61" s="54"/>
      <c r="Y61" s="54"/>
      <c r="Z61" s="54"/>
    </row>
    <row r="62" ht="15.75" customHeight="1">
      <c r="A62" s="82"/>
      <c r="B62" s="83"/>
      <c r="C62" s="97"/>
      <c r="D62" s="66" t="s">
        <v>454</v>
      </c>
      <c r="E62" s="66" t="s">
        <v>455</v>
      </c>
      <c r="F62" s="86" t="s">
        <v>46</v>
      </c>
      <c r="G62" s="66" t="s">
        <v>456</v>
      </c>
      <c r="H62" s="66" t="s">
        <v>450</v>
      </c>
      <c r="I62" s="66" t="s">
        <v>457</v>
      </c>
      <c r="J62" s="66" t="s">
        <v>458</v>
      </c>
      <c r="K62" s="66" t="s">
        <v>439</v>
      </c>
      <c r="L62" s="66" t="s">
        <v>459</v>
      </c>
      <c r="M62" s="93" t="s">
        <v>40</v>
      </c>
      <c r="N62" s="96" t="s">
        <v>3</v>
      </c>
      <c r="O62" s="86" t="s">
        <v>41</v>
      </c>
      <c r="P62" s="67" t="s">
        <v>52</v>
      </c>
      <c r="Q62" s="59" t="s">
        <v>43</v>
      </c>
      <c r="R62" s="54"/>
      <c r="S62" s="54"/>
      <c r="T62" s="54"/>
      <c r="U62" s="54"/>
      <c r="V62" s="54"/>
      <c r="W62" s="54"/>
      <c r="X62" s="54"/>
      <c r="Y62" s="54"/>
      <c r="Z62" s="54"/>
    </row>
    <row r="63" ht="15.75" customHeight="1">
      <c r="A63" s="82"/>
      <c r="B63" s="83"/>
      <c r="C63" s="97"/>
      <c r="D63" s="66" t="s">
        <v>460</v>
      </c>
      <c r="E63" s="66" t="s">
        <v>461</v>
      </c>
      <c r="F63" s="86" t="s">
        <v>46</v>
      </c>
      <c r="G63" s="66" t="s">
        <v>462</v>
      </c>
      <c r="H63" s="66" t="s">
        <v>463</v>
      </c>
      <c r="I63" s="66" t="s">
        <v>464</v>
      </c>
      <c r="J63" s="98" t="s">
        <v>465</v>
      </c>
      <c r="K63" s="66" t="s">
        <v>439</v>
      </c>
      <c r="L63" s="66" t="s">
        <v>466</v>
      </c>
      <c r="M63" s="93" t="s">
        <v>40</v>
      </c>
      <c r="N63" s="96" t="s">
        <v>3</v>
      </c>
      <c r="O63" s="86" t="s">
        <v>41</v>
      </c>
      <c r="P63" s="67" t="s">
        <v>52</v>
      </c>
      <c r="Q63" s="59" t="s">
        <v>43</v>
      </c>
      <c r="R63" s="54"/>
      <c r="S63" s="54"/>
      <c r="T63" s="54"/>
      <c r="U63" s="54"/>
      <c r="V63" s="54"/>
      <c r="W63" s="54"/>
      <c r="X63" s="54"/>
      <c r="Y63" s="54"/>
      <c r="Z63" s="54"/>
    </row>
    <row r="64" ht="15.75" customHeight="1">
      <c r="A64" s="99"/>
      <c r="B64" s="100"/>
      <c r="C64" s="100"/>
      <c r="D64" s="66" t="s">
        <v>467</v>
      </c>
      <c r="E64" s="66" t="s">
        <v>468</v>
      </c>
      <c r="F64" s="96" t="s">
        <v>245</v>
      </c>
      <c r="G64" s="66" t="s">
        <v>469</v>
      </c>
      <c r="H64" s="66" t="s">
        <v>470</v>
      </c>
      <c r="I64" s="66" t="s">
        <v>471</v>
      </c>
      <c r="J64" s="66" t="s">
        <v>80</v>
      </c>
      <c r="K64" s="66" t="s">
        <v>439</v>
      </c>
      <c r="L64" s="66" t="s">
        <v>472</v>
      </c>
      <c r="M64" s="93" t="s">
        <v>40</v>
      </c>
      <c r="N64" s="96" t="s">
        <v>3</v>
      </c>
      <c r="O64" s="86" t="s">
        <v>41</v>
      </c>
      <c r="P64" s="67" t="s">
        <v>52</v>
      </c>
      <c r="Q64" s="59" t="s">
        <v>76</v>
      </c>
      <c r="R64" s="68"/>
      <c r="S64" s="68"/>
      <c r="T64" s="68"/>
      <c r="U64" s="68"/>
      <c r="V64" s="68"/>
      <c r="W64" s="68"/>
      <c r="X64" s="68"/>
      <c r="Y64" s="68"/>
      <c r="Z64" s="68"/>
      <c r="AA64" s="101"/>
    </row>
    <row r="65" ht="15.75" customHeight="1">
      <c r="A65" s="82"/>
      <c r="B65" s="83"/>
      <c r="C65" s="83"/>
      <c r="D65" s="65" t="s">
        <v>473</v>
      </c>
      <c r="E65" s="65" t="s">
        <v>474</v>
      </c>
      <c r="F65" s="86" t="s">
        <v>46</v>
      </c>
      <c r="G65" s="66" t="s">
        <v>475</v>
      </c>
      <c r="H65" s="66" t="s">
        <v>437</v>
      </c>
      <c r="I65" s="66" t="s">
        <v>476</v>
      </c>
      <c r="J65" s="66" t="s">
        <v>80</v>
      </c>
      <c r="K65" s="66" t="s">
        <v>108</v>
      </c>
      <c r="L65" s="66" t="s">
        <v>477</v>
      </c>
      <c r="M65" s="93" t="s">
        <v>40</v>
      </c>
      <c r="N65" s="96" t="s">
        <v>3</v>
      </c>
      <c r="O65" s="86" t="s">
        <v>41</v>
      </c>
      <c r="P65" s="67" t="s">
        <v>52</v>
      </c>
      <c r="Q65" s="59" t="s">
        <v>76</v>
      </c>
      <c r="R65" s="54"/>
      <c r="S65" s="54"/>
      <c r="T65" s="54"/>
      <c r="U65" s="54"/>
      <c r="V65" s="54"/>
      <c r="W65" s="54"/>
      <c r="X65" s="54"/>
      <c r="Y65" s="54"/>
      <c r="Z65" s="54"/>
    </row>
    <row r="66" ht="15.75" customHeight="1">
      <c r="A66" s="82"/>
      <c r="B66" s="83"/>
      <c r="C66" s="83"/>
      <c r="D66" s="65" t="s">
        <v>478</v>
      </c>
      <c r="E66" s="65" t="s">
        <v>479</v>
      </c>
      <c r="F66" s="86" t="s">
        <v>46</v>
      </c>
      <c r="G66" s="66" t="s">
        <v>480</v>
      </c>
      <c r="H66" s="66" t="s">
        <v>481</v>
      </c>
      <c r="I66" s="66" t="s">
        <v>482</v>
      </c>
      <c r="J66" s="66" t="s">
        <v>483</v>
      </c>
      <c r="K66" s="66" t="s">
        <v>108</v>
      </c>
      <c r="L66" s="66" t="s">
        <v>484</v>
      </c>
      <c r="M66" s="93" t="s">
        <v>40</v>
      </c>
      <c r="N66" s="96" t="s">
        <v>3</v>
      </c>
      <c r="O66" s="86" t="s">
        <v>41</v>
      </c>
      <c r="P66" s="67" t="s">
        <v>52</v>
      </c>
      <c r="Q66" s="59" t="s">
        <v>76</v>
      </c>
      <c r="R66" s="54"/>
      <c r="S66" s="54"/>
      <c r="T66" s="54"/>
      <c r="U66" s="54"/>
      <c r="V66" s="54"/>
      <c r="W66" s="54"/>
      <c r="X66" s="54"/>
      <c r="Y66" s="54"/>
      <c r="Z66" s="54"/>
    </row>
    <row r="67" ht="15.75" customHeight="1">
      <c r="A67" s="82"/>
      <c r="B67" s="83"/>
      <c r="C67" s="83"/>
      <c r="D67" s="65" t="s">
        <v>485</v>
      </c>
      <c r="E67" s="65" t="s">
        <v>486</v>
      </c>
      <c r="F67" s="86" t="s">
        <v>46</v>
      </c>
      <c r="G67" s="66" t="s">
        <v>487</v>
      </c>
      <c r="H67" s="66" t="s">
        <v>488</v>
      </c>
      <c r="I67" s="66" t="s">
        <v>489</v>
      </c>
      <c r="J67" s="66" t="s">
        <v>490</v>
      </c>
      <c r="K67" s="66" t="s">
        <v>108</v>
      </c>
      <c r="L67" s="66" t="s">
        <v>491</v>
      </c>
      <c r="M67" s="93" t="s">
        <v>40</v>
      </c>
      <c r="N67" s="96" t="s">
        <v>3</v>
      </c>
      <c r="O67" s="86" t="s">
        <v>41</v>
      </c>
      <c r="P67" s="67" t="s">
        <v>52</v>
      </c>
      <c r="Q67" s="59" t="s">
        <v>76</v>
      </c>
      <c r="R67" s="54"/>
      <c r="S67" s="54"/>
      <c r="T67" s="54"/>
      <c r="U67" s="54"/>
      <c r="V67" s="54"/>
      <c r="W67" s="54"/>
      <c r="X67" s="54"/>
      <c r="Y67" s="54"/>
      <c r="Z67" s="54"/>
    </row>
    <row r="68" ht="15.75" customHeight="1">
      <c r="A68" s="82"/>
      <c r="B68" s="83"/>
      <c r="C68" s="83"/>
      <c r="D68" s="65" t="s">
        <v>492</v>
      </c>
      <c r="E68" s="65" t="s">
        <v>493</v>
      </c>
      <c r="F68" s="86" t="s">
        <v>46</v>
      </c>
      <c r="G68" s="66" t="s">
        <v>494</v>
      </c>
      <c r="H68" s="66" t="s">
        <v>488</v>
      </c>
      <c r="I68" s="66" t="s">
        <v>495</v>
      </c>
      <c r="J68" s="66" t="s">
        <v>496</v>
      </c>
      <c r="K68" s="66" t="s">
        <v>108</v>
      </c>
      <c r="L68" s="66" t="s">
        <v>497</v>
      </c>
      <c r="M68" s="93" t="s">
        <v>40</v>
      </c>
      <c r="N68" s="96" t="s">
        <v>3</v>
      </c>
      <c r="O68" s="86" t="s">
        <v>41</v>
      </c>
      <c r="P68" s="67" t="s">
        <v>52</v>
      </c>
      <c r="Q68" s="59" t="s">
        <v>76</v>
      </c>
      <c r="R68" s="54"/>
      <c r="S68" s="54"/>
      <c r="T68" s="54"/>
      <c r="U68" s="54"/>
      <c r="V68" s="54"/>
      <c r="W68" s="54"/>
      <c r="X68" s="54"/>
      <c r="Y68" s="54"/>
      <c r="Z68" s="54"/>
    </row>
    <row r="69" ht="15.75" customHeight="1">
      <c r="A69" s="82"/>
      <c r="B69" s="83"/>
      <c r="C69" s="83"/>
      <c r="D69" s="65" t="s">
        <v>498</v>
      </c>
      <c r="E69" s="65" t="s">
        <v>499</v>
      </c>
      <c r="F69" s="86" t="s">
        <v>46</v>
      </c>
      <c r="G69" s="66" t="s">
        <v>500</v>
      </c>
      <c r="H69" s="66" t="s">
        <v>501</v>
      </c>
      <c r="I69" s="66" t="s">
        <v>502</v>
      </c>
      <c r="J69" s="98" t="s">
        <v>503</v>
      </c>
      <c r="K69" s="66" t="s">
        <v>108</v>
      </c>
      <c r="L69" s="66" t="s">
        <v>466</v>
      </c>
      <c r="M69" s="93" t="s">
        <v>40</v>
      </c>
      <c r="N69" s="96" t="s">
        <v>3</v>
      </c>
      <c r="O69" s="86" t="s">
        <v>41</v>
      </c>
      <c r="P69" s="67" t="s">
        <v>52</v>
      </c>
      <c r="Q69" s="59" t="s">
        <v>76</v>
      </c>
      <c r="R69" s="54"/>
      <c r="S69" s="54"/>
      <c r="T69" s="54"/>
      <c r="U69" s="54"/>
      <c r="V69" s="54"/>
      <c r="W69" s="54"/>
      <c r="X69" s="54"/>
      <c r="Y69" s="54"/>
      <c r="Z69" s="54"/>
    </row>
    <row r="70" ht="15.75" customHeight="1">
      <c r="A70" s="82"/>
      <c r="B70" s="83"/>
      <c r="C70" s="83"/>
      <c r="D70" s="65" t="s">
        <v>504</v>
      </c>
      <c r="E70" s="65" t="s">
        <v>505</v>
      </c>
      <c r="F70" s="86" t="s">
        <v>46</v>
      </c>
      <c r="G70" s="66" t="s">
        <v>506</v>
      </c>
      <c r="H70" s="66" t="s">
        <v>488</v>
      </c>
      <c r="I70" s="66" t="s">
        <v>507</v>
      </c>
      <c r="J70" s="66" t="s">
        <v>508</v>
      </c>
      <c r="K70" s="66" t="s">
        <v>108</v>
      </c>
      <c r="L70" s="66" t="s">
        <v>509</v>
      </c>
      <c r="M70" s="93" t="s">
        <v>40</v>
      </c>
      <c r="N70" s="96" t="s">
        <v>3</v>
      </c>
      <c r="O70" s="86" t="s">
        <v>41</v>
      </c>
      <c r="P70" s="67" t="s">
        <v>52</v>
      </c>
      <c r="Q70" s="59" t="s">
        <v>76</v>
      </c>
      <c r="R70" s="54"/>
      <c r="S70" s="54"/>
      <c r="T70" s="54"/>
      <c r="U70" s="54"/>
      <c r="V70" s="54"/>
      <c r="W70" s="54"/>
      <c r="X70" s="54"/>
      <c r="Y70" s="54"/>
      <c r="Z70" s="54"/>
    </row>
    <row r="71" ht="15.75" customHeight="1">
      <c r="A71" s="82"/>
      <c r="B71" s="83"/>
      <c r="C71" s="83"/>
      <c r="D71" s="65" t="s">
        <v>510</v>
      </c>
      <c r="E71" s="65" t="s">
        <v>511</v>
      </c>
      <c r="F71" s="86" t="s">
        <v>46</v>
      </c>
      <c r="G71" s="66" t="s">
        <v>512</v>
      </c>
      <c r="H71" s="66" t="s">
        <v>513</v>
      </c>
      <c r="I71" s="66" t="s">
        <v>514</v>
      </c>
      <c r="J71" s="98" t="s">
        <v>515</v>
      </c>
      <c r="K71" s="66" t="s">
        <v>108</v>
      </c>
      <c r="L71" s="66" t="s">
        <v>516</v>
      </c>
      <c r="M71" s="93" t="s">
        <v>40</v>
      </c>
      <c r="N71" s="96" t="s">
        <v>3</v>
      </c>
      <c r="O71" s="86" t="s">
        <v>41</v>
      </c>
      <c r="P71" s="67" t="s">
        <v>52</v>
      </c>
      <c r="Q71" s="59" t="s">
        <v>76</v>
      </c>
      <c r="R71" s="54"/>
      <c r="S71" s="54"/>
      <c r="T71" s="54"/>
      <c r="U71" s="54"/>
      <c r="V71" s="54"/>
      <c r="W71" s="54"/>
      <c r="X71" s="54"/>
      <c r="Y71" s="54"/>
      <c r="Z71" s="54"/>
    </row>
    <row r="72" ht="15.75" customHeight="1">
      <c r="A72" s="102"/>
      <c r="B72" s="103"/>
      <c r="C72" s="103"/>
      <c r="D72" s="65" t="s">
        <v>517</v>
      </c>
      <c r="E72" s="65" t="s">
        <v>518</v>
      </c>
      <c r="F72" s="96" t="s">
        <v>245</v>
      </c>
      <c r="G72" s="66" t="s">
        <v>519</v>
      </c>
      <c r="H72" s="66" t="s">
        <v>470</v>
      </c>
      <c r="I72" s="66" t="s">
        <v>520</v>
      </c>
      <c r="J72" s="66" t="s">
        <v>80</v>
      </c>
      <c r="K72" s="66" t="s">
        <v>108</v>
      </c>
      <c r="L72" s="66" t="s">
        <v>521</v>
      </c>
      <c r="M72" s="93" t="s">
        <v>40</v>
      </c>
      <c r="N72" s="96" t="s">
        <v>425</v>
      </c>
      <c r="O72" s="86" t="s">
        <v>41</v>
      </c>
      <c r="P72" s="67" t="s">
        <v>52</v>
      </c>
      <c r="Q72" s="59" t="s">
        <v>76</v>
      </c>
      <c r="R72" s="104"/>
      <c r="S72" s="104"/>
      <c r="T72" s="104"/>
      <c r="U72" s="104"/>
      <c r="V72" s="104"/>
      <c r="W72" s="104"/>
      <c r="X72" s="104"/>
      <c r="Y72" s="104"/>
      <c r="Z72" s="104"/>
      <c r="AA72" s="105"/>
    </row>
    <row r="73" ht="15.75" customHeight="1">
      <c r="A73" s="82"/>
      <c r="B73" s="83"/>
      <c r="C73" s="83"/>
      <c r="D73" s="65" t="s">
        <v>522</v>
      </c>
      <c r="E73" s="65" t="s">
        <v>523</v>
      </c>
      <c r="F73" s="86" t="s">
        <v>46</v>
      </c>
      <c r="G73" s="66" t="s">
        <v>524</v>
      </c>
      <c r="H73" s="66" t="s">
        <v>437</v>
      </c>
      <c r="I73" s="66" t="s">
        <v>525</v>
      </c>
      <c r="J73" s="66" t="s">
        <v>80</v>
      </c>
      <c r="K73" s="66" t="s">
        <v>526</v>
      </c>
      <c r="L73" s="66" t="s">
        <v>477</v>
      </c>
      <c r="M73" s="93" t="s">
        <v>40</v>
      </c>
      <c r="N73" s="96" t="s">
        <v>3</v>
      </c>
      <c r="O73" s="86" t="s">
        <v>41</v>
      </c>
      <c r="P73" s="67" t="s">
        <v>242</v>
      </c>
      <c r="Q73" s="59" t="s">
        <v>43</v>
      </c>
      <c r="R73" s="54"/>
      <c r="S73" s="54"/>
      <c r="T73" s="54"/>
      <c r="U73" s="54"/>
      <c r="V73" s="54"/>
      <c r="W73" s="54"/>
      <c r="X73" s="54"/>
      <c r="Y73" s="54"/>
      <c r="Z73" s="54"/>
    </row>
    <row r="74" ht="15.75" customHeight="1">
      <c r="A74" s="102"/>
      <c r="B74" s="103"/>
      <c r="C74" s="103"/>
      <c r="D74" s="65" t="s">
        <v>527</v>
      </c>
      <c r="E74" s="65" t="s">
        <v>528</v>
      </c>
      <c r="F74" s="86" t="s">
        <v>46</v>
      </c>
      <c r="G74" s="66" t="s">
        <v>529</v>
      </c>
      <c r="H74" s="66" t="s">
        <v>530</v>
      </c>
      <c r="I74" s="66" t="s">
        <v>531</v>
      </c>
      <c r="J74" s="66" t="s">
        <v>80</v>
      </c>
      <c r="K74" s="66" t="s">
        <v>526</v>
      </c>
      <c r="L74" s="66" t="s">
        <v>532</v>
      </c>
      <c r="M74" s="93" t="s">
        <v>40</v>
      </c>
      <c r="N74" s="96" t="s">
        <v>3</v>
      </c>
      <c r="O74" s="86" t="s">
        <v>41</v>
      </c>
      <c r="P74" s="67" t="s">
        <v>52</v>
      </c>
      <c r="Q74" s="59" t="s">
        <v>43</v>
      </c>
      <c r="R74" s="104"/>
      <c r="S74" s="104"/>
      <c r="T74" s="104"/>
      <c r="U74" s="104"/>
      <c r="V74" s="104"/>
      <c r="W74" s="104"/>
      <c r="X74" s="104"/>
      <c r="Y74" s="104"/>
      <c r="Z74" s="104"/>
      <c r="AA74" s="105"/>
    </row>
    <row r="75" ht="15.75" customHeight="1">
      <c r="A75" s="54"/>
      <c r="B75" s="54"/>
      <c r="C75" s="54"/>
      <c r="D75" s="65" t="s">
        <v>533</v>
      </c>
      <c r="E75" s="65" t="s">
        <v>534</v>
      </c>
      <c r="F75" s="86" t="s">
        <v>46</v>
      </c>
      <c r="G75" s="66" t="s">
        <v>535</v>
      </c>
      <c r="H75" s="66" t="s">
        <v>536</v>
      </c>
      <c r="I75" s="66" t="s">
        <v>537</v>
      </c>
      <c r="J75" s="66" t="s">
        <v>538</v>
      </c>
      <c r="K75" s="66" t="s">
        <v>526</v>
      </c>
      <c r="L75" s="66" t="s">
        <v>539</v>
      </c>
      <c r="M75" s="93" t="s">
        <v>40</v>
      </c>
      <c r="N75" s="96" t="s">
        <v>3</v>
      </c>
      <c r="O75" s="86" t="s">
        <v>41</v>
      </c>
      <c r="P75" s="67" t="s">
        <v>52</v>
      </c>
      <c r="Q75" s="59" t="s">
        <v>43</v>
      </c>
      <c r="R75" s="54"/>
      <c r="S75" s="54"/>
      <c r="T75" s="54"/>
      <c r="U75" s="54"/>
      <c r="V75" s="54"/>
      <c r="W75" s="54"/>
      <c r="X75" s="54"/>
      <c r="Y75" s="54"/>
      <c r="Z75" s="54"/>
    </row>
    <row r="76" ht="15.75" customHeight="1">
      <c r="A76" s="68"/>
      <c r="B76" s="68"/>
      <c r="C76" s="68"/>
      <c r="D76" s="65" t="s">
        <v>540</v>
      </c>
      <c r="E76" s="65" t="s">
        <v>518</v>
      </c>
      <c r="F76" s="96" t="s">
        <v>245</v>
      </c>
      <c r="G76" s="66" t="s">
        <v>519</v>
      </c>
      <c r="H76" s="66" t="s">
        <v>470</v>
      </c>
      <c r="I76" s="66" t="s">
        <v>541</v>
      </c>
      <c r="J76" s="66" t="s">
        <v>80</v>
      </c>
      <c r="K76" s="66" t="s">
        <v>526</v>
      </c>
      <c r="L76" s="66" t="s">
        <v>521</v>
      </c>
      <c r="M76" s="93" t="s">
        <v>40</v>
      </c>
      <c r="N76" s="96" t="s">
        <v>425</v>
      </c>
      <c r="O76" s="86" t="s">
        <v>41</v>
      </c>
      <c r="P76" s="67" t="s">
        <v>94</v>
      </c>
      <c r="Q76" s="59" t="s">
        <v>76</v>
      </c>
      <c r="R76" s="68"/>
      <c r="S76" s="68"/>
      <c r="T76" s="68"/>
      <c r="U76" s="68"/>
      <c r="V76" s="68"/>
      <c r="W76" s="68"/>
      <c r="X76" s="68"/>
      <c r="Y76" s="68"/>
      <c r="Z76" s="68"/>
      <c r="AA76" s="101"/>
    </row>
    <row r="77" ht="15.75" customHeight="1">
      <c r="A77" s="104"/>
      <c r="B77" s="104"/>
      <c r="C77" s="104"/>
      <c r="D77" s="65" t="s">
        <v>542</v>
      </c>
      <c r="E77" s="65" t="s">
        <v>543</v>
      </c>
      <c r="F77" s="86" t="s">
        <v>46</v>
      </c>
      <c r="G77" s="66" t="s">
        <v>544</v>
      </c>
      <c r="H77" s="66" t="s">
        <v>545</v>
      </c>
      <c r="I77" s="66" t="s">
        <v>546</v>
      </c>
      <c r="J77" s="66" t="s">
        <v>547</v>
      </c>
      <c r="K77" s="66" t="s">
        <v>526</v>
      </c>
      <c r="L77" s="66" t="s">
        <v>548</v>
      </c>
      <c r="M77" s="93" t="s">
        <v>40</v>
      </c>
      <c r="N77" s="96" t="s">
        <v>3</v>
      </c>
      <c r="O77" s="86" t="s">
        <v>41</v>
      </c>
      <c r="P77" s="67" t="s">
        <v>94</v>
      </c>
      <c r="Q77" s="59" t="s">
        <v>76</v>
      </c>
      <c r="R77" s="104"/>
      <c r="S77" s="104"/>
      <c r="T77" s="104"/>
      <c r="U77" s="104"/>
      <c r="V77" s="104"/>
      <c r="W77" s="104"/>
      <c r="X77" s="104"/>
      <c r="Y77" s="104"/>
      <c r="Z77" s="104"/>
      <c r="AA77" s="105"/>
    </row>
    <row r="78" ht="15.75" customHeight="1">
      <c r="A78" s="54"/>
      <c r="B78" s="54"/>
      <c r="C78" s="54"/>
      <c r="D78" s="65" t="s">
        <v>549</v>
      </c>
      <c r="E78" s="65" t="s">
        <v>550</v>
      </c>
      <c r="F78" s="57" t="s">
        <v>33</v>
      </c>
      <c r="G78" s="66" t="s">
        <v>551</v>
      </c>
      <c r="H78" s="66" t="s">
        <v>552</v>
      </c>
      <c r="I78" s="66" t="s">
        <v>553</v>
      </c>
      <c r="J78" s="66" t="s">
        <v>554</v>
      </c>
      <c r="K78" s="66" t="s">
        <v>526</v>
      </c>
      <c r="L78" s="66" t="s">
        <v>555</v>
      </c>
      <c r="M78" s="93" t="s">
        <v>40</v>
      </c>
      <c r="N78" s="96" t="s">
        <v>3</v>
      </c>
      <c r="O78" s="86" t="s">
        <v>41</v>
      </c>
      <c r="P78" s="67" t="s">
        <v>52</v>
      </c>
      <c r="Q78" s="59" t="s">
        <v>43</v>
      </c>
      <c r="R78" s="54"/>
      <c r="S78" s="54"/>
      <c r="T78" s="54"/>
      <c r="U78" s="54"/>
      <c r="V78" s="54"/>
      <c r="W78" s="54"/>
      <c r="X78" s="54"/>
      <c r="Y78" s="54"/>
      <c r="Z78" s="54"/>
    </row>
    <row r="79" ht="15.75" customHeight="1">
      <c r="A79" s="54"/>
      <c r="B79" s="54"/>
      <c r="C79" s="54"/>
      <c r="D79" s="65" t="s">
        <v>556</v>
      </c>
      <c r="E79" s="65" t="s">
        <v>557</v>
      </c>
      <c r="F79" s="86" t="s">
        <v>46</v>
      </c>
      <c r="G79" s="66" t="s">
        <v>558</v>
      </c>
      <c r="H79" s="66" t="s">
        <v>437</v>
      </c>
      <c r="I79" s="66" t="s">
        <v>559</v>
      </c>
      <c r="J79" s="66" t="s">
        <v>80</v>
      </c>
      <c r="K79" s="66" t="s">
        <v>560</v>
      </c>
      <c r="L79" s="66" t="s">
        <v>477</v>
      </c>
      <c r="M79" s="93" t="s">
        <v>40</v>
      </c>
      <c r="N79" s="96" t="s">
        <v>3</v>
      </c>
      <c r="O79" s="86" t="s">
        <v>41</v>
      </c>
      <c r="P79" s="67" t="s">
        <v>52</v>
      </c>
      <c r="Q79" s="59" t="s">
        <v>43</v>
      </c>
      <c r="R79" s="54"/>
      <c r="S79" s="54"/>
      <c r="T79" s="54"/>
      <c r="U79" s="54"/>
      <c r="V79" s="54"/>
      <c r="W79" s="54"/>
      <c r="X79" s="54"/>
      <c r="Y79" s="54"/>
      <c r="Z79" s="54"/>
    </row>
    <row r="80" ht="15.75" customHeight="1">
      <c r="A80" s="54"/>
      <c r="B80" s="54"/>
      <c r="C80" s="54"/>
      <c r="D80" s="65" t="s">
        <v>561</v>
      </c>
      <c r="E80" s="65" t="s">
        <v>562</v>
      </c>
      <c r="F80" s="86" t="s">
        <v>46</v>
      </c>
      <c r="G80" s="66" t="s">
        <v>563</v>
      </c>
      <c r="H80" s="66" t="s">
        <v>564</v>
      </c>
      <c r="I80" s="66" t="s">
        <v>565</v>
      </c>
      <c r="J80" s="98" t="s">
        <v>566</v>
      </c>
      <c r="K80" s="66" t="s">
        <v>560</v>
      </c>
      <c r="L80" s="66" t="s">
        <v>567</v>
      </c>
      <c r="M80" s="93" t="s">
        <v>40</v>
      </c>
      <c r="N80" s="96" t="s">
        <v>3</v>
      </c>
      <c r="O80" s="86" t="s">
        <v>41</v>
      </c>
      <c r="P80" s="67" t="s">
        <v>52</v>
      </c>
      <c r="Q80" s="59" t="s">
        <v>43</v>
      </c>
      <c r="R80" s="54"/>
      <c r="S80" s="54"/>
      <c r="T80" s="54"/>
      <c r="U80" s="54"/>
      <c r="V80" s="54"/>
      <c r="W80" s="54"/>
      <c r="X80" s="54"/>
      <c r="Y80" s="54"/>
      <c r="Z80" s="54"/>
    </row>
    <row r="81" ht="15.75" customHeight="1">
      <c r="A81" s="54"/>
      <c r="B81" s="54"/>
      <c r="C81" s="54"/>
      <c r="D81" s="65" t="s">
        <v>568</v>
      </c>
      <c r="E81" s="65" t="s">
        <v>569</v>
      </c>
      <c r="F81" s="86" t="s">
        <v>46</v>
      </c>
      <c r="G81" s="66" t="s">
        <v>570</v>
      </c>
      <c r="H81" s="66" t="s">
        <v>564</v>
      </c>
      <c r="I81" s="66" t="s">
        <v>571</v>
      </c>
      <c r="J81" s="66" t="s">
        <v>572</v>
      </c>
      <c r="K81" s="66" t="s">
        <v>560</v>
      </c>
      <c r="L81" s="66" t="s">
        <v>573</v>
      </c>
      <c r="M81" s="93" t="s">
        <v>40</v>
      </c>
      <c r="N81" s="96" t="s">
        <v>3</v>
      </c>
      <c r="O81" s="86" t="s">
        <v>41</v>
      </c>
      <c r="P81" s="67" t="s">
        <v>94</v>
      </c>
      <c r="Q81" s="59" t="s">
        <v>76</v>
      </c>
      <c r="R81" s="54"/>
      <c r="S81" s="54"/>
      <c r="T81" s="54"/>
      <c r="U81" s="54"/>
      <c r="V81" s="54"/>
      <c r="W81" s="54"/>
      <c r="X81" s="54"/>
      <c r="Y81" s="54"/>
      <c r="Z81" s="54"/>
    </row>
    <row r="82" ht="15.75" customHeight="1">
      <c r="A82" s="54"/>
      <c r="B82" s="54"/>
      <c r="C82" s="54"/>
      <c r="D82" s="65" t="s">
        <v>574</v>
      </c>
      <c r="E82" s="65" t="s">
        <v>575</v>
      </c>
      <c r="F82" s="86" t="s">
        <v>46</v>
      </c>
      <c r="G82" s="66" t="s">
        <v>576</v>
      </c>
      <c r="H82" s="66" t="s">
        <v>564</v>
      </c>
      <c r="I82" s="66" t="s">
        <v>576</v>
      </c>
      <c r="J82" s="98" t="s">
        <v>577</v>
      </c>
      <c r="K82" s="66" t="s">
        <v>560</v>
      </c>
      <c r="L82" s="66" t="s">
        <v>578</v>
      </c>
      <c r="M82" s="93" t="s">
        <v>40</v>
      </c>
      <c r="N82" s="96" t="s">
        <v>3</v>
      </c>
      <c r="O82" s="86" t="s">
        <v>41</v>
      </c>
      <c r="P82" s="67" t="s">
        <v>94</v>
      </c>
      <c r="Q82" s="59" t="s">
        <v>76</v>
      </c>
      <c r="R82" s="54"/>
      <c r="S82" s="54"/>
      <c r="T82" s="54"/>
      <c r="U82" s="54"/>
      <c r="V82" s="54"/>
      <c r="W82" s="54"/>
      <c r="X82" s="54"/>
      <c r="Y82" s="54"/>
      <c r="Z82" s="54"/>
    </row>
    <row r="83" ht="15.75" customHeight="1">
      <c r="A83" s="54"/>
      <c r="B83" s="54"/>
      <c r="C83" s="54"/>
      <c r="D83" s="65" t="s">
        <v>579</v>
      </c>
      <c r="E83" s="65" t="s">
        <v>580</v>
      </c>
      <c r="F83" s="86" t="s">
        <v>46</v>
      </c>
      <c r="G83" s="66" t="s">
        <v>581</v>
      </c>
      <c r="H83" s="66" t="s">
        <v>582</v>
      </c>
      <c r="I83" s="66" t="s">
        <v>581</v>
      </c>
      <c r="J83" s="98" t="s">
        <v>583</v>
      </c>
      <c r="K83" s="66" t="s">
        <v>560</v>
      </c>
      <c r="L83" s="66" t="s">
        <v>584</v>
      </c>
      <c r="M83" s="93" t="s">
        <v>40</v>
      </c>
      <c r="N83" s="96" t="s">
        <v>3</v>
      </c>
      <c r="O83" s="86" t="s">
        <v>41</v>
      </c>
      <c r="P83" s="67" t="s">
        <v>94</v>
      </c>
      <c r="Q83" s="59" t="s">
        <v>76</v>
      </c>
      <c r="R83" s="54"/>
      <c r="S83" s="54"/>
      <c r="T83" s="54"/>
      <c r="U83" s="54"/>
      <c r="V83" s="54"/>
      <c r="W83" s="54"/>
      <c r="X83" s="54"/>
      <c r="Y83" s="54"/>
      <c r="Z83" s="54"/>
    </row>
    <row r="84" ht="15.75" customHeight="1">
      <c r="A84" s="54"/>
      <c r="B84" s="54"/>
      <c r="C84" s="54"/>
      <c r="D84" s="65" t="s">
        <v>585</v>
      </c>
      <c r="E84" s="65" t="s">
        <v>586</v>
      </c>
      <c r="F84" s="86" t="s">
        <v>46</v>
      </c>
      <c r="G84" s="66" t="s">
        <v>587</v>
      </c>
      <c r="H84" s="66" t="s">
        <v>588</v>
      </c>
      <c r="I84" s="106" t="s">
        <v>589</v>
      </c>
      <c r="J84" s="66" t="s">
        <v>590</v>
      </c>
      <c r="K84" s="66" t="s">
        <v>560</v>
      </c>
      <c r="L84" s="66" t="s">
        <v>591</v>
      </c>
      <c r="M84" s="93" t="s">
        <v>40</v>
      </c>
      <c r="N84" s="96" t="s">
        <v>3</v>
      </c>
      <c r="O84" s="86" t="s">
        <v>41</v>
      </c>
      <c r="P84" s="67" t="s">
        <v>94</v>
      </c>
      <c r="Q84" s="59" t="s">
        <v>76</v>
      </c>
      <c r="R84" s="54"/>
      <c r="S84" s="54"/>
      <c r="T84" s="54"/>
      <c r="U84" s="54"/>
      <c r="V84" s="54"/>
      <c r="W84" s="54"/>
      <c r="X84" s="54"/>
      <c r="Y84" s="54"/>
      <c r="Z84" s="54"/>
    </row>
    <row r="85" ht="15.75" customHeight="1">
      <c r="A85" s="54"/>
      <c r="B85" s="54"/>
      <c r="C85" s="54"/>
      <c r="D85" s="65" t="s">
        <v>592</v>
      </c>
      <c r="E85" s="65" t="s">
        <v>593</v>
      </c>
      <c r="F85" s="57" t="s">
        <v>33</v>
      </c>
      <c r="G85" s="66" t="s">
        <v>594</v>
      </c>
      <c r="H85" s="66" t="s">
        <v>588</v>
      </c>
      <c r="I85" s="66" t="s">
        <v>594</v>
      </c>
      <c r="J85" s="66" t="s">
        <v>80</v>
      </c>
      <c r="K85" s="66" t="s">
        <v>560</v>
      </c>
      <c r="L85" s="66" t="s">
        <v>595</v>
      </c>
      <c r="M85" s="94" t="s">
        <v>126</v>
      </c>
      <c r="N85" s="96" t="s">
        <v>3</v>
      </c>
      <c r="O85" s="86" t="s">
        <v>41</v>
      </c>
      <c r="P85" s="67" t="s">
        <v>94</v>
      </c>
      <c r="Q85" s="59" t="s">
        <v>76</v>
      </c>
      <c r="R85" s="54"/>
      <c r="S85" s="54"/>
      <c r="T85" s="54"/>
      <c r="U85" s="54"/>
      <c r="V85" s="54"/>
      <c r="W85" s="54"/>
      <c r="X85" s="54"/>
      <c r="Y85" s="54"/>
      <c r="Z85" s="54"/>
    </row>
    <row r="86" ht="15.75" customHeight="1">
      <c r="A86" s="54"/>
      <c r="B86" s="54"/>
      <c r="C86" s="54"/>
      <c r="D86" s="65" t="s">
        <v>596</v>
      </c>
      <c r="E86" s="65" t="s">
        <v>597</v>
      </c>
      <c r="F86" s="57" t="s">
        <v>33</v>
      </c>
      <c r="G86" s="66" t="s">
        <v>598</v>
      </c>
      <c r="H86" s="66" t="s">
        <v>599</v>
      </c>
      <c r="I86" s="66" t="s">
        <v>600</v>
      </c>
      <c r="J86" s="98" t="s">
        <v>601</v>
      </c>
      <c r="K86" s="66" t="s">
        <v>560</v>
      </c>
      <c r="L86" s="66" t="s">
        <v>602</v>
      </c>
      <c r="M86" s="93" t="s">
        <v>40</v>
      </c>
      <c r="N86" s="96" t="s">
        <v>3</v>
      </c>
      <c r="O86" s="86" t="s">
        <v>41</v>
      </c>
      <c r="P86" s="67" t="s">
        <v>94</v>
      </c>
      <c r="Q86" s="59" t="s">
        <v>76</v>
      </c>
      <c r="R86" s="54"/>
      <c r="S86" s="54"/>
      <c r="T86" s="54"/>
      <c r="U86" s="54"/>
      <c r="V86" s="54"/>
      <c r="W86" s="54"/>
      <c r="X86" s="54"/>
      <c r="Y86" s="54"/>
      <c r="Z86" s="54"/>
    </row>
    <row r="87" ht="15.75" customHeight="1">
      <c r="A87" s="54"/>
      <c r="B87" s="54"/>
      <c r="C87" s="54"/>
      <c r="D87" s="65" t="s">
        <v>603</v>
      </c>
      <c r="E87" s="65" t="s">
        <v>518</v>
      </c>
      <c r="F87" s="86" t="s">
        <v>46</v>
      </c>
      <c r="G87" s="66" t="s">
        <v>519</v>
      </c>
      <c r="H87" s="66" t="s">
        <v>470</v>
      </c>
      <c r="I87" s="66" t="s">
        <v>519</v>
      </c>
      <c r="J87" s="66" t="s">
        <v>80</v>
      </c>
      <c r="K87" s="66" t="s">
        <v>560</v>
      </c>
      <c r="L87" s="66" t="s">
        <v>521</v>
      </c>
      <c r="M87" s="94" t="s">
        <v>604</v>
      </c>
      <c r="N87" s="96" t="s">
        <v>3</v>
      </c>
      <c r="O87" s="86" t="s">
        <v>41</v>
      </c>
      <c r="P87" s="67" t="s">
        <v>94</v>
      </c>
      <c r="Q87" s="59" t="s">
        <v>76</v>
      </c>
      <c r="R87" s="54"/>
      <c r="S87" s="54"/>
      <c r="T87" s="54"/>
      <c r="U87" s="54"/>
      <c r="V87" s="54"/>
      <c r="W87" s="54"/>
      <c r="X87" s="54"/>
      <c r="Y87" s="54"/>
      <c r="Z87" s="54"/>
    </row>
    <row r="88" ht="15.75" customHeight="1">
      <c r="A88" s="54"/>
      <c r="B88" s="54"/>
      <c r="C88" s="54"/>
      <c r="D88" s="65" t="s">
        <v>605</v>
      </c>
      <c r="E88" s="65" t="s">
        <v>606</v>
      </c>
      <c r="F88" s="86" t="s">
        <v>46</v>
      </c>
      <c r="G88" s="66" t="s">
        <v>607</v>
      </c>
      <c r="H88" s="66" t="s">
        <v>608</v>
      </c>
      <c r="I88" s="66" t="s">
        <v>609</v>
      </c>
      <c r="J88" s="66" t="s">
        <v>610</v>
      </c>
      <c r="K88" s="66" t="s">
        <v>611</v>
      </c>
      <c r="L88" s="66" t="s">
        <v>612</v>
      </c>
      <c r="M88" s="94" t="s">
        <v>40</v>
      </c>
      <c r="N88" s="96" t="s">
        <v>3</v>
      </c>
      <c r="O88" s="96" t="s">
        <v>41</v>
      </c>
      <c r="P88" s="67" t="s">
        <v>198</v>
      </c>
      <c r="Q88" s="59" t="s">
        <v>76</v>
      </c>
      <c r="R88" s="54"/>
      <c r="S88" s="54"/>
      <c r="T88" s="54"/>
      <c r="U88" s="54"/>
      <c r="V88" s="54"/>
      <c r="W88" s="54"/>
      <c r="X88" s="54"/>
      <c r="Y88" s="54"/>
      <c r="Z88" s="54"/>
    </row>
    <row r="89" ht="15.75" customHeight="1">
      <c r="A89" s="54"/>
      <c r="B89" s="54"/>
      <c r="C89" s="54"/>
      <c r="D89" s="65" t="s">
        <v>613</v>
      </c>
      <c r="E89" s="65" t="s">
        <v>614</v>
      </c>
      <c r="F89" s="86" t="s">
        <v>46</v>
      </c>
      <c r="G89" s="66" t="s">
        <v>615</v>
      </c>
      <c r="H89" s="66" t="s">
        <v>608</v>
      </c>
      <c r="I89" s="66" t="s">
        <v>616</v>
      </c>
      <c r="J89" s="66" t="s">
        <v>617</v>
      </c>
      <c r="K89" s="66" t="s">
        <v>611</v>
      </c>
      <c r="L89" s="66" t="s">
        <v>618</v>
      </c>
      <c r="M89" s="94" t="s">
        <v>40</v>
      </c>
      <c r="N89" s="96" t="s">
        <v>3</v>
      </c>
      <c r="O89" s="96" t="s">
        <v>41</v>
      </c>
      <c r="P89" s="67" t="s">
        <v>198</v>
      </c>
      <c r="Q89" s="59" t="s">
        <v>76</v>
      </c>
      <c r="R89" s="54"/>
      <c r="S89" s="54"/>
      <c r="T89" s="54"/>
      <c r="U89" s="54"/>
      <c r="V89" s="54"/>
      <c r="W89" s="54"/>
      <c r="X89" s="54"/>
      <c r="Y89" s="54"/>
      <c r="Z89" s="54"/>
    </row>
    <row r="90" ht="15.75" customHeight="1">
      <c r="A90" s="54"/>
      <c r="B90" s="54"/>
      <c r="C90" s="54"/>
      <c r="D90" s="65" t="s">
        <v>619</v>
      </c>
      <c r="E90" s="65" t="s">
        <v>620</v>
      </c>
      <c r="F90" s="86" t="s">
        <v>46</v>
      </c>
      <c r="G90" s="66" t="s">
        <v>621</v>
      </c>
      <c r="H90" s="66" t="s">
        <v>608</v>
      </c>
      <c r="I90" s="66" t="s">
        <v>622</v>
      </c>
      <c r="J90" s="66" t="s">
        <v>623</v>
      </c>
      <c r="K90" s="66" t="s">
        <v>611</v>
      </c>
      <c r="L90" s="66" t="s">
        <v>624</v>
      </c>
      <c r="M90" s="94" t="s">
        <v>40</v>
      </c>
      <c r="N90" s="96" t="s">
        <v>3</v>
      </c>
      <c r="O90" s="96" t="s">
        <v>41</v>
      </c>
      <c r="P90" s="67" t="s">
        <v>198</v>
      </c>
      <c r="Q90" s="59" t="s">
        <v>76</v>
      </c>
      <c r="R90" s="54"/>
      <c r="S90" s="54"/>
      <c r="T90" s="54"/>
      <c r="U90" s="54"/>
      <c r="V90" s="54"/>
      <c r="W90" s="54"/>
      <c r="X90" s="54"/>
      <c r="Y90" s="54"/>
      <c r="Z90" s="54"/>
    </row>
    <row r="91" ht="15.75" customHeight="1">
      <c r="A91" s="54"/>
      <c r="B91" s="54"/>
      <c r="C91" s="54"/>
      <c r="D91" s="65" t="s">
        <v>625</v>
      </c>
      <c r="E91" s="65" t="s">
        <v>626</v>
      </c>
      <c r="F91" s="86" t="s">
        <v>46</v>
      </c>
      <c r="G91" s="66" t="s">
        <v>627</v>
      </c>
      <c r="H91" s="66" t="s">
        <v>628</v>
      </c>
      <c r="I91" s="107"/>
      <c r="J91" s="66" t="s">
        <v>629</v>
      </c>
      <c r="K91" s="66" t="s">
        <v>611</v>
      </c>
      <c r="L91" s="66" t="s">
        <v>630</v>
      </c>
      <c r="M91" s="94" t="s">
        <v>40</v>
      </c>
      <c r="N91" s="96" t="s">
        <v>3</v>
      </c>
      <c r="O91" s="96" t="s">
        <v>41</v>
      </c>
      <c r="P91" s="67" t="s">
        <v>198</v>
      </c>
      <c r="Q91" s="59" t="s">
        <v>76</v>
      </c>
      <c r="R91" s="54"/>
      <c r="S91" s="54"/>
      <c r="T91" s="54"/>
      <c r="U91" s="54"/>
      <c r="V91" s="54"/>
      <c r="W91" s="54"/>
      <c r="X91" s="54"/>
      <c r="Y91" s="54"/>
      <c r="Z91" s="54"/>
    </row>
    <row r="92" ht="15.75" customHeight="1">
      <c r="A92" s="54"/>
      <c r="B92" s="54"/>
      <c r="C92" s="54"/>
      <c r="D92" s="65" t="s">
        <v>631</v>
      </c>
      <c r="E92" s="65" t="s">
        <v>632</v>
      </c>
      <c r="F92" s="86" t="s">
        <v>46</v>
      </c>
      <c r="G92" s="66" t="s">
        <v>633</v>
      </c>
      <c r="H92" s="66" t="s">
        <v>634</v>
      </c>
      <c r="I92" s="66" t="s">
        <v>635</v>
      </c>
      <c r="J92" s="66" t="s">
        <v>636</v>
      </c>
      <c r="K92" s="66" t="s">
        <v>611</v>
      </c>
      <c r="L92" s="66" t="s">
        <v>637</v>
      </c>
      <c r="M92" s="94" t="s">
        <v>40</v>
      </c>
      <c r="N92" s="96" t="s">
        <v>3</v>
      </c>
      <c r="O92" s="96" t="s">
        <v>41</v>
      </c>
      <c r="P92" s="67" t="s">
        <v>198</v>
      </c>
      <c r="Q92" s="59" t="s">
        <v>76</v>
      </c>
      <c r="R92" s="54"/>
      <c r="S92" s="54"/>
      <c r="T92" s="54"/>
      <c r="U92" s="54"/>
      <c r="V92" s="54"/>
      <c r="W92" s="54"/>
      <c r="X92" s="54"/>
      <c r="Y92" s="54"/>
      <c r="Z92" s="54"/>
    </row>
    <row r="93" ht="15.75" customHeight="1">
      <c r="A93" s="54"/>
      <c r="B93" s="54"/>
      <c r="C93" s="54"/>
      <c r="D93" s="65" t="s">
        <v>638</v>
      </c>
      <c r="E93" s="65" t="s">
        <v>639</v>
      </c>
      <c r="F93" s="57" t="s">
        <v>33</v>
      </c>
      <c r="G93" s="66" t="s">
        <v>640</v>
      </c>
      <c r="H93" s="66" t="s">
        <v>641</v>
      </c>
      <c r="I93" s="66" t="s">
        <v>642</v>
      </c>
      <c r="J93" s="66" t="s">
        <v>643</v>
      </c>
      <c r="K93" s="66" t="s">
        <v>611</v>
      </c>
      <c r="L93" s="66" t="s">
        <v>644</v>
      </c>
      <c r="M93" s="94" t="s">
        <v>126</v>
      </c>
      <c r="N93" s="96" t="s">
        <v>3</v>
      </c>
      <c r="O93" s="96" t="s">
        <v>41</v>
      </c>
      <c r="P93" s="67" t="s">
        <v>198</v>
      </c>
      <c r="Q93" s="59" t="s">
        <v>76</v>
      </c>
      <c r="R93" s="54"/>
      <c r="S93" s="54"/>
      <c r="T93" s="54"/>
      <c r="U93" s="54"/>
      <c r="V93" s="54"/>
      <c r="W93" s="54"/>
      <c r="X93" s="54"/>
      <c r="Y93" s="54"/>
      <c r="Z93" s="54"/>
    </row>
    <row r="94" ht="15.75" customHeight="1">
      <c r="A94" s="54"/>
      <c r="B94" s="54"/>
      <c r="C94" s="54"/>
      <c r="D94" s="65" t="s">
        <v>645</v>
      </c>
      <c r="E94" s="65" t="s">
        <v>646</v>
      </c>
      <c r="F94" s="57" t="s">
        <v>33</v>
      </c>
      <c r="G94" s="66" t="s">
        <v>647</v>
      </c>
      <c r="H94" s="66" t="s">
        <v>648</v>
      </c>
      <c r="I94" s="66" t="s">
        <v>647</v>
      </c>
      <c r="J94" s="66" t="s">
        <v>649</v>
      </c>
      <c r="K94" s="66" t="s">
        <v>611</v>
      </c>
      <c r="L94" s="66" t="s">
        <v>650</v>
      </c>
      <c r="M94" s="94" t="s">
        <v>40</v>
      </c>
      <c r="N94" s="96" t="s">
        <v>3</v>
      </c>
      <c r="O94" s="96" t="s">
        <v>41</v>
      </c>
      <c r="P94" s="67" t="s">
        <v>198</v>
      </c>
      <c r="Q94" s="59" t="s">
        <v>76</v>
      </c>
      <c r="R94" s="54"/>
      <c r="S94" s="54"/>
      <c r="T94" s="54"/>
      <c r="U94" s="54"/>
      <c r="V94" s="54"/>
      <c r="W94" s="54"/>
      <c r="X94" s="54"/>
      <c r="Y94" s="54"/>
      <c r="Z94" s="54"/>
    </row>
    <row r="95" ht="15.75" customHeight="1">
      <c r="A95" s="54"/>
      <c r="B95" s="54"/>
      <c r="C95" s="54"/>
      <c r="D95" s="65" t="s">
        <v>651</v>
      </c>
      <c r="E95" s="65" t="s">
        <v>652</v>
      </c>
      <c r="F95" s="57" t="s">
        <v>33</v>
      </c>
      <c r="G95" s="66" t="s">
        <v>653</v>
      </c>
      <c r="H95" s="66" t="s">
        <v>608</v>
      </c>
      <c r="I95" s="66" t="s">
        <v>653</v>
      </c>
      <c r="J95" s="66" t="s">
        <v>654</v>
      </c>
      <c r="K95" s="66" t="s">
        <v>611</v>
      </c>
      <c r="L95" s="66" t="s">
        <v>655</v>
      </c>
      <c r="M95" s="94" t="s">
        <v>126</v>
      </c>
      <c r="N95" s="96" t="s">
        <v>3</v>
      </c>
      <c r="O95" s="96" t="s">
        <v>41</v>
      </c>
      <c r="P95" s="67" t="s">
        <v>198</v>
      </c>
      <c r="Q95" s="59" t="s">
        <v>76</v>
      </c>
      <c r="R95" s="54"/>
      <c r="S95" s="54"/>
      <c r="T95" s="54"/>
      <c r="U95" s="54"/>
      <c r="V95" s="54"/>
      <c r="W95" s="54"/>
      <c r="X95" s="54"/>
      <c r="Y95" s="54"/>
      <c r="Z95" s="54"/>
    </row>
    <row r="96" ht="15.75" customHeight="1">
      <c r="A96" s="54"/>
      <c r="B96" s="54"/>
      <c r="C96" s="54"/>
      <c r="D96" s="65" t="s">
        <v>656</v>
      </c>
      <c r="E96" s="65" t="s">
        <v>657</v>
      </c>
      <c r="F96" s="86" t="s">
        <v>46</v>
      </c>
      <c r="G96" s="66" t="s">
        <v>658</v>
      </c>
      <c r="H96" s="66" t="s">
        <v>659</v>
      </c>
      <c r="I96" s="66" t="s">
        <v>660</v>
      </c>
      <c r="J96" s="66" t="s">
        <v>661</v>
      </c>
      <c r="K96" s="66" t="s">
        <v>662</v>
      </c>
      <c r="L96" s="66" t="s">
        <v>663</v>
      </c>
      <c r="M96" s="94" t="s">
        <v>40</v>
      </c>
      <c r="N96" s="96" t="s">
        <v>3</v>
      </c>
      <c r="O96" s="96" t="s">
        <v>41</v>
      </c>
      <c r="P96" s="67" t="s">
        <v>198</v>
      </c>
      <c r="Q96" s="59" t="s">
        <v>76</v>
      </c>
      <c r="R96" s="54"/>
      <c r="S96" s="54"/>
      <c r="T96" s="54"/>
      <c r="U96" s="54"/>
      <c r="V96" s="54"/>
      <c r="W96" s="54"/>
      <c r="X96" s="54"/>
      <c r="Y96" s="54"/>
      <c r="Z96" s="54"/>
    </row>
    <row r="97" ht="15.75" customHeight="1">
      <c r="A97" s="54"/>
      <c r="B97" s="54"/>
      <c r="C97" s="54"/>
      <c r="D97" s="65" t="s">
        <v>664</v>
      </c>
      <c r="E97" s="65" t="s">
        <v>665</v>
      </c>
      <c r="F97" s="86" t="s">
        <v>46</v>
      </c>
      <c r="G97" s="66" t="s">
        <v>666</v>
      </c>
      <c r="H97" s="66" t="s">
        <v>667</v>
      </c>
      <c r="I97" s="66" t="s">
        <v>666</v>
      </c>
      <c r="J97" s="66" t="s">
        <v>668</v>
      </c>
      <c r="K97" s="66" t="s">
        <v>662</v>
      </c>
      <c r="L97" s="66" t="s">
        <v>669</v>
      </c>
      <c r="M97" s="94" t="s">
        <v>40</v>
      </c>
      <c r="N97" s="96" t="s">
        <v>3</v>
      </c>
      <c r="O97" s="96" t="s">
        <v>41</v>
      </c>
      <c r="P97" s="67" t="s">
        <v>198</v>
      </c>
      <c r="Q97" s="59" t="s">
        <v>76</v>
      </c>
      <c r="R97" s="54"/>
      <c r="S97" s="54"/>
      <c r="T97" s="54"/>
      <c r="U97" s="54"/>
      <c r="V97" s="54"/>
      <c r="W97" s="54"/>
      <c r="X97" s="54"/>
      <c r="Y97" s="54"/>
      <c r="Z97" s="54"/>
    </row>
    <row r="98" ht="15.75" customHeight="1">
      <c r="A98" s="54"/>
      <c r="B98" s="54"/>
      <c r="C98" s="54"/>
      <c r="D98" s="65" t="s">
        <v>670</v>
      </c>
      <c r="E98" s="65" t="s">
        <v>671</v>
      </c>
      <c r="F98" s="86" t="s">
        <v>46</v>
      </c>
      <c r="G98" s="66" t="s">
        <v>672</v>
      </c>
      <c r="H98" s="66" t="s">
        <v>673</v>
      </c>
      <c r="I98" s="66" t="s">
        <v>672</v>
      </c>
      <c r="J98" s="66" t="s">
        <v>674</v>
      </c>
      <c r="K98" s="66" t="s">
        <v>662</v>
      </c>
      <c r="L98" s="66" t="s">
        <v>675</v>
      </c>
      <c r="M98" s="94" t="s">
        <v>40</v>
      </c>
      <c r="N98" s="96" t="s">
        <v>3</v>
      </c>
      <c r="O98" s="96" t="s">
        <v>41</v>
      </c>
      <c r="P98" s="67" t="s">
        <v>198</v>
      </c>
      <c r="Q98" s="59" t="s">
        <v>76</v>
      </c>
      <c r="R98" s="54"/>
      <c r="S98" s="54"/>
      <c r="T98" s="54"/>
      <c r="U98" s="54"/>
      <c r="V98" s="54"/>
      <c r="W98" s="54"/>
      <c r="X98" s="54"/>
      <c r="Y98" s="54"/>
      <c r="Z98" s="54"/>
    </row>
    <row r="99" ht="15.75" customHeight="1">
      <c r="A99" s="54"/>
      <c r="B99" s="54"/>
      <c r="C99" s="54"/>
      <c r="D99" s="65" t="s">
        <v>676</v>
      </c>
      <c r="E99" s="65" t="s">
        <v>677</v>
      </c>
      <c r="F99" s="86" t="s">
        <v>46</v>
      </c>
      <c r="G99" s="66" t="s">
        <v>678</v>
      </c>
      <c r="H99" s="66" t="s">
        <v>679</v>
      </c>
      <c r="I99" s="66" t="s">
        <v>678</v>
      </c>
      <c r="J99" s="66" t="s">
        <v>680</v>
      </c>
      <c r="K99" s="66" t="s">
        <v>662</v>
      </c>
      <c r="L99" s="66" t="s">
        <v>681</v>
      </c>
      <c r="M99" s="94" t="s">
        <v>40</v>
      </c>
      <c r="N99" s="96" t="s">
        <v>3</v>
      </c>
      <c r="O99" s="96" t="s">
        <v>41</v>
      </c>
      <c r="P99" s="67" t="s">
        <v>198</v>
      </c>
      <c r="Q99" s="59" t="s">
        <v>76</v>
      </c>
      <c r="R99" s="54"/>
      <c r="S99" s="54"/>
      <c r="T99" s="54"/>
      <c r="U99" s="54"/>
      <c r="V99" s="54"/>
      <c r="W99" s="54"/>
      <c r="X99" s="54"/>
      <c r="Y99" s="54"/>
      <c r="Z99" s="54"/>
    </row>
    <row r="100" ht="15.75" customHeight="1">
      <c r="A100" s="54"/>
      <c r="B100" s="54"/>
      <c r="C100" s="54"/>
      <c r="D100" s="65" t="s">
        <v>682</v>
      </c>
      <c r="E100" s="65" t="s">
        <v>683</v>
      </c>
      <c r="F100" s="57" t="s">
        <v>33</v>
      </c>
      <c r="G100" s="66" t="s">
        <v>684</v>
      </c>
      <c r="H100" s="66" t="s">
        <v>685</v>
      </c>
      <c r="I100" s="66" t="s">
        <v>684</v>
      </c>
      <c r="J100" s="66" t="s">
        <v>686</v>
      </c>
      <c r="K100" s="66" t="s">
        <v>662</v>
      </c>
      <c r="L100" s="66" t="s">
        <v>687</v>
      </c>
      <c r="M100" s="94" t="s">
        <v>40</v>
      </c>
      <c r="N100" s="96" t="s">
        <v>3</v>
      </c>
      <c r="O100" s="96" t="s">
        <v>41</v>
      </c>
      <c r="P100" s="67" t="s">
        <v>198</v>
      </c>
      <c r="Q100" s="59" t="s">
        <v>76</v>
      </c>
      <c r="R100" s="54"/>
      <c r="S100" s="54"/>
      <c r="T100" s="54"/>
      <c r="U100" s="54"/>
      <c r="V100" s="54"/>
      <c r="W100" s="54"/>
      <c r="X100" s="54"/>
      <c r="Y100" s="54"/>
      <c r="Z100" s="54"/>
    </row>
    <row r="101" ht="15.75" customHeight="1">
      <c r="A101" s="54"/>
      <c r="B101" s="54"/>
      <c r="C101" s="54"/>
      <c r="D101" s="108"/>
      <c r="F101" s="109"/>
      <c r="M101" s="109"/>
      <c r="N101" s="109"/>
      <c r="O101" s="109"/>
      <c r="Q101" s="52"/>
      <c r="R101" s="54"/>
      <c r="S101" s="54"/>
      <c r="T101" s="54"/>
      <c r="U101" s="54"/>
      <c r="V101" s="54"/>
      <c r="W101" s="54"/>
      <c r="X101" s="54"/>
      <c r="Y101" s="54"/>
      <c r="Z101" s="54"/>
    </row>
    <row r="102" ht="15.75" customHeight="1">
      <c r="A102" s="54"/>
      <c r="B102" s="54"/>
      <c r="C102" s="54"/>
      <c r="D102" s="108"/>
      <c r="F102" s="109"/>
      <c r="M102" s="109"/>
      <c r="N102" s="109"/>
      <c r="O102" s="109"/>
      <c r="Q102" s="52"/>
      <c r="R102" s="54"/>
      <c r="S102" s="54"/>
      <c r="T102" s="54"/>
      <c r="U102" s="54"/>
      <c r="V102" s="54"/>
      <c r="W102" s="54"/>
      <c r="X102" s="54"/>
      <c r="Y102" s="54"/>
      <c r="Z102" s="54"/>
    </row>
    <row r="103" ht="15.75" customHeight="1">
      <c r="A103" s="54"/>
      <c r="B103" s="54"/>
      <c r="C103" s="54"/>
      <c r="D103" s="108"/>
      <c r="F103" s="109"/>
      <c r="M103" s="109"/>
      <c r="N103" s="109"/>
      <c r="O103" s="109"/>
      <c r="Q103" s="52"/>
      <c r="R103" s="54"/>
      <c r="S103" s="54"/>
      <c r="T103" s="54"/>
      <c r="U103" s="54"/>
      <c r="V103" s="54"/>
      <c r="W103" s="54"/>
      <c r="X103" s="54"/>
      <c r="Y103" s="54"/>
      <c r="Z103" s="54"/>
    </row>
    <row r="104" ht="15.75" customHeight="1">
      <c r="A104" s="54"/>
      <c r="B104" s="54"/>
      <c r="C104" s="54"/>
      <c r="D104" s="54"/>
      <c r="F104" s="109"/>
      <c r="M104" s="109"/>
      <c r="N104" s="109"/>
      <c r="O104" s="109"/>
      <c r="Q104" s="51"/>
      <c r="R104" s="54"/>
      <c r="S104" s="54"/>
      <c r="T104" s="54"/>
      <c r="U104" s="54"/>
      <c r="V104" s="54"/>
      <c r="W104" s="54"/>
      <c r="X104" s="54"/>
      <c r="Y104" s="54"/>
      <c r="Z104" s="54"/>
    </row>
    <row r="105" ht="15.75" customHeight="1">
      <c r="A105" s="54"/>
      <c r="B105" s="54"/>
      <c r="C105" s="54"/>
      <c r="D105" s="54"/>
      <c r="F105" s="109"/>
      <c r="M105" s="109"/>
      <c r="N105" s="109"/>
      <c r="O105" s="109"/>
      <c r="Q105" s="51"/>
      <c r="R105" s="54"/>
      <c r="S105" s="54"/>
      <c r="T105" s="54"/>
      <c r="U105" s="54"/>
      <c r="V105" s="54"/>
      <c r="W105" s="54"/>
      <c r="X105" s="54"/>
      <c r="Y105" s="54"/>
      <c r="Z105" s="54"/>
    </row>
    <row r="106" ht="15.75" customHeight="1">
      <c r="A106" s="54"/>
      <c r="B106" s="54"/>
      <c r="C106" s="54"/>
      <c r="D106" s="54"/>
      <c r="F106" s="109"/>
      <c r="M106" s="109"/>
      <c r="N106" s="109"/>
      <c r="O106" s="109"/>
      <c r="Q106" s="51"/>
      <c r="R106" s="54"/>
      <c r="S106" s="54"/>
      <c r="T106" s="54"/>
      <c r="U106" s="54"/>
      <c r="V106" s="54"/>
      <c r="W106" s="54"/>
      <c r="X106" s="54"/>
      <c r="Y106" s="54"/>
      <c r="Z106" s="54"/>
    </row>
    <row r="107" ht="15.75" customHeight="1">
      <c r="A107" s="54"/>
      <c r="B107" s="54"/>
      <c r="C107" s="54"/>
      <c r="D107" s="54"/>
      <c r="F107" s="109"/>
      <c r="M107" s="109"/>
      <c r="N107" s="109"/>
      <c r="O107" s="109"/>
      <c r="Q107" s="51"/>
      <c r="R107" s="54"/>
      <c r="S107" s="54"/>
      <c r="T107" s="54"/>
      <c r="U107" s="54"/>
      <c r="V107" s="54"/>
      <c r="W107" s="54"/>
      <c r="X107" s="54"/>
      <c r="Y107" s="54"/>
      <c r="Z107" s="54"/>
    </row>
    <row r="108" ht="15.75" customHeight="1">
      <c r="A108" s="54"/>
      <c r="B108" s="54"/>
      <c r="C108" s="54"/>
      <c r="D108" s="54"/>
      <c r="F108" s="109"/>
      <c r="M108" s="109"/>
      <c r="N108" s="109"/>
      <c r="O108" s="109"/>
      <c r="Q108" s="51"/>
      <c r="R108" s="54"/>
      <c r="S108" s="54"/>
      <c r="T108" s="54"/>
      <c r="U108" s="54"/>
      <c r="V108" s="54"/>
      <c r="W108" s="54"/>
      <c r="X108" s="54"/>
      <c r="Y108" s="54"/>
      <c r="Z108" s="54"/>
    </row>
    <row r="109" ht="15.75" customHeight="1">
      <c r="A109" s="54"/>
      <c r="B109" s="54"/>
      <c r="C109" s="54"/>
      <c r="D109" s="54"/>
      <c r="F109" s="109"/>
      <c r="M109" s="109"/>
      <c r="N109" s="109"/>
      <c r="O109" s="109"/>
      <c r="Q109" s="51"/>
      <c r="R109" s="54"/>
      <c r="S109" s="54"/>
      <c r="T109" s="54"/>
      <c r="U109" s="54"/>
      <c r="V109" s="54"/>
      <c r="W109" s="54"/>
      <c r="X109" s="54"/>
      <c r="Y109" s="54"/>
      <c r="Z109" s="54"/>
    </row>
    <row r="110" ht="15.75" customHeight="1">
      <c r="A110" s="54"/>
      <c r="B110" s="54"/>
      <c r="C110" s="54"/>
      <c r="D110" s="54"/>
      <c r="F110" s="109"/>
      <c r="M110" s="109"/>
      <c r="N110" s="109"/>
      <c r="O110" s="109"/>
      <c r="Q110" s="51"/>
      <c r="R110" s="54"/>
      <c r="S110" s="54"/>
      <c r="T110" s="54"/>
      <c r="U110" s="54"/>
      <c r="V110" s="54"/>
      <c r="W110" s="54"/>
      <c r="X110" s="54"/>
      <c r="Y110" s="54"/>
      <c r="Z110" s="54"/>
    </row>
    <row r="111" ht="15.75" customHeight="1">
      <c r="A111" s="54"/>
      <c r="B111" s="54"/>
      <c r="C111" s="54"/>
      <c r="D111" s="54"/>
      <c r="F111" s="109"/>
      <c r="M111" s="109"/>
      <c r="N111" s="109"/>
      <c r="O111" s="109"/>
      <c r="Q111" s="51"/>
      <c r="R111" s="54"/>
      <c r="S111" s="54"/>
      <c r="T111" s="54"/>
      <c r="U111" s="54"/>
      <c r="V111" s="54"/>
      <c r="W111" s="54"/>
      <c r="X111" s="54"/>
      <c r="Y111" s="54"/>
      <c r="Z111" s="54"/>
    </row>
    <row r="112" ht="15.75" customHeight="1">
      <c r="A112" s="54"/>
      <c r="B112" s="54"/>
      <c r="C112" s="54"/>
      <c r="D112" s="54"/>
      <c r="F112" s="109"/>
      <c r="M112" s="109"/>
      <c r="N112" s="109"/>
      <c r="O112" s="109"/>
      <c r="Q112" s="51"/>
      <c r="R112" s="54"/>
      <c r="S112" s="54"/>
      <c r="T112" s="54"/>
      <c r="U112" s="54"/>
      <c r="V112" s="54"/>
      <c r="W112" s="54"/>
      <c r="X112" s="54"/>
      <c r="Y112" s="54"/>
      <c r="Z112" s="54"/>
    </row>
    <row r="113" ht="15.75" customHeight="1">
      <c r="A113" s="54"/>
      <c r="B113" s="54"/>
      <c r="C113" s="54"/>
      <c r="D113" s="54"/>
      <c r="F113" s="109"/>
      <c r="M113" s="109"/>
      <c r="N113" s="109"/>
      <c r="O113" s="109"/>
      <c r="Q113" s="51"/>
      <c r="R113" s="54"/>
      <c r="S113" s="54"/>
      <c r="T113" s="54"/>
      <c r="U113" s="54"/>
      <c r="V113" s="54"/>
      <c r="W113" s="54"/>
      <c r="X113" s="54"/>
      <c r="Y113" s="54"/>
      <c r="Z113" s="54"/>
    </row>
    <row r="114" ht="15.75" customHeight="1">
      <c r="A114" s="54"/>
      <c r="B114" s="54"/>
      <c r="C114" s="54"/>
      <c r="D114" s="54"/>
      <c r="F114" s="109"/>
      <c r="M114" s="109"/>
      <c r="N114" s="109"/>
      <c r="O114" s="109"/>
      <c r="Q114" s="51"/>
      <c r="R114" s="54"/>
      <c r="S114" s="54"/>
      <c r="T114" s="54"/>
      <c r="U114" s="54"/>
      <c r="V114" s="54"/>
      <c r="W114" s="54"/>
      <c r="X114" s="54"/>
      <c r="Y114" s="54"/>
      <c r="Z114" s="54"/>
    </row>
    <row r="115" ht="15.75" customHeight="1">
      <c r="A115" s="54"/>
      <c r="B115" s="54"/>
      <c r="C115" s="54"/>
      <c r="D115" s="54"/>
      <c r="F115" s="109"/>
      <c r="M115" s="109"/>
      <c r="N115" s="109"/>
      <c r="O115" s="109"/>
      <c r="Q115" s="51"/>
      <c r="R115" s="54"/>
      <c r="S115" s="54"/>
      <c r="T115" s="54"/>
      <c r="U115" s="54"/>
      <c r="V115" s="54"/>
      <c r="W115" s="54"/>
      <c r="X115" s="54"/>
      <c r="Y115" s="54"/>
      <c r="Z115" s="54"/>
    </row>
    <row r="116" ht="15.75" customHeight="1">
      <c r="A116" s="54"/>
      <c r="B116" s="54"/>
      <c r="C116" s="54"/>
      <c r="D116" s="54"/>
      <c r="F116" s="109"/>
      <c r="M116" s="109"/>
      <c r="N116" s="109"/>
      <c r="O116" s="109"/>
      <c r="Q116" s="51"/>
      <c r="R116" s="54"/>
      <c r="S116" s="54"/>
      <c r="T116" s="54"/>
      <c r="U116" s="54"/>
      <c r="V116" s="54"/>
      <c r="W116" s="54"/>
      <c r="X116" s="54"/>
      <c r="Y116" s="54"/>
      <c r="Z116" s="54"/>
    </row>
    <row r="117" ht="15.75" customHeight="1">
      <c r="A117" s="54"/>
      <c r="B117" s="54"/>
      <c r="C117" s="54"/>
      <c r="D117" s="54"/>
      <c r="F117" s="109"/>
      <c r="M117" s="109"/>
      <c r="N117" s="109"/>
      <c r="O117" s="109"/>
      <c r="Q117" s="51"/>
      <c r="R117" s="54"/>
      <c r="S117" s="54"/>
      <c r="T117" s="54"/>
      <c r="U117" s="54"/>
      <c r="V117" s="54"/>
      <c r="W117" s="54"/>
      <c r="X117" s="54"/>
      <c r="Y117" s="54"/>
      <c r="Z117" s="54"/>
    </row>
    <row r="118" ht="15.75" customHeight="1">
      <c r="A118" s="54"/>
      <c r="B118" s="54"/>
      <c r="C118" s="54"/>
      <c r="D118" s="54"/>
      <c r="F118" s="109"/>
      <c r="M118" s="109"/>
      <c r="N118" s="109"/>
      <c r="O118" s="109"/>
      <c r="Q118" s="51"/>
      <c r="R118" s="54"/>
      <c r="S118" s="54"/>
      <c r="T118" s="54"/>
      <c r="U118" s="54"/>
      <c r="V118" s="54"/>
      <c r="W118" s="54"/>
      <c r="X118" s="54"/>
      <c r="Y118" s="54"/>
      <c r="Z118" s="54"/>
    </row>
    <row r="119" ht="15.75" customHeight="1">
      <c r="A119" s="54"/>
      <c r="B119" s="54"/>
      <c r="C119" s="54"/>
      <c r="D119" s="54"/>
      <c r="F119" s="109"/>
      <c r="M119" s="109"/>
      <c r="N119" s="109"/>
      <c r="O119" s="109"/>
      <c r="Q119" s="51"/>
      <c r="R119" s="54"/>
      <c r="S119" s="54"/>
      <c r="T119" s="54"/>
      <c r="U119" s="54"/>
      <c r="V119" s="54"/>
      <c r="W119" s="54"/>
      <c r="X119" s="54"/>
      <c r="Y119" s="54"/>
      <c r="Z119" s="54"/>
    </row>
    <row r="120" ht="15.75" customHeight="1">
      <c r="A120" s="54"/>
      <c r="B120" s="54"/>
      <c r="C120" s="54"/>
      <c r="D120" s="54"/>
      <c r="F120" s="109"/>
      <c r="M120" s="109"/>
      <c r="N120" s="109"/>
      <c r="O120" s="109"/>
      <c r="Q120" s="51"/>
      <c r="R120" s="54"/>
      <c r="S120" s="54"/>
      <c r="T120" s="54"/>
      <c r="U120" s="54"/>
      <c r="V120" s="54"/>
      <c r="W120" s="54"/>
      <c r="X120" s="54"/>
      <c r="Y120" s="54"/>
      <c r="Z120" s="54"/>
    </row>
    <row r="121" ht="15.75" customHeight="1">
      <c r="A121" s="54"/>
      <c r="B121" s="54"/>
      <c r="C121" s="54"/>
      <c r="D121" s="54"/>
      <c r="F121" s="109"/>
      <c r="M121" s="109"/>
      <c r="N121" s="109"/>
      <c r="O121" s="109"/>
      <c r="Q121" s="51"/>
      <c r="R121" s="54"/>
      <c r="S121" s="54"/>
      <c r="T121" s="54"/>
      <c r="U121" s="54"/>
      <c r="V121" s="54"/>
      <c r="W121" s="54"/>
      <c r="X121" s="54"/>
      <c r="Y121" s="54"/>
      <c r="Z121" s="54"/>
    </row>
    <row r="122" ht="15.75" customHeight="1">
      <c r="A122" s="54"/>
      <c r="B122" s="54"/>
      <c r="C122" s="54"/>
      <c r="D122" s="54"/>
      <c r="F122" s="109"/>
      <c r="M122" s="109"/>
      <c r="N122" s="109"/>
      <c r="O122" s="109"/>
      <c r="Q122" s="51"/>
      <c r="R122" s="54"/>
      <c r="S122" s="54"/>
      <c r="T122" s="54"/>
      <c r="U122" s="54"/>
      <c r="V122" s="54"/>
      <c r="W122" s="54"/>
      <c r="X122" s="54"/>
      <c r="Y122" s="54"/>
      <c r="Z122" s="54"/>
    </row>
    <row r="123" ht="15.75" customHeight="1">
      <c r="A123" s="54"/>
      <c r="B123" s="54"/>
      <c r="C123" s="54"/>
      <c r="D123" s="54"/>
      <c r="F123" s="109"/>
      <c r="M123" s="109"/>
      <c r="N123" s="109"/>
      <c r="O123" s="109"/>
      <c r="Q123" s="51"/>
      <c r="R123" s="54"/>
      <c r="S123" s="54"/>
      <c r="T123" s="54"/>
      <c r="U123" s="54"/>
      <c r="V123" s="54"/>
      <c r="W123" s="54"/>
      <c r="X123" s="54"/>
      <c r="Y123" s="54"/>
      <c r="Z123" s="54"/>
    </row>
    <row r="124" ht="15.75" customHeight="1">
      <c r="A124" s="54"/>
      <c r="B124" s="54"/>
      <c r="C124" s="54"/>
      <c r="D124" s="54"/>
      <c r="F124" s="109"/>
      <c r="M124" s="109"/>
      <c r="N124" s="109"/>
      <c r="O124" s="109"/>
      <c r="Q124" s="51"/>
      <c r="R124" s="54"/>
      <c r="S124" s="54"/>
      <c r="T124" s="54"/>
      <c r="U124" s="54"/>
      <c r="V124" s="54"/>
      <c r="W124" s="54"/>
      <c r="X124" s="54"/>
      <c r="Y124" s="54"/>
      <c r="Z124" s="54"/>
    </row>
    <row r="125" ht="15.75" customHeight="1">
      <c r="A125" s="54"/>
      <c r="B125" s="54"/>
      <c r="C125" s="54"/>
      <c r="D125" s="54"/>
      <c r="F125" s="109"/>
      <c r="M125" s="109"/>
      <c r="N125" s="109"/>
      <c r="O125" s="109"/>
      <c r="Q125" s="51"/>
      <c r="R125" s="54"/>
      <c r="S125" s="54"/>
      <c r="T125" s="54"/>
      <c r="U125" s="54"/>
      <c r="V125" s="54"/>
      <c r="W125" s="54"/>
      <c r="X125" s="54"/>
      <c r="Y125" s="54"/>
      <c r="Z125" s="54"/>
    </row>
    <row r="126" ht="15.75" customHeight="1">
      <c r="A126" s="54"/>
      <c r="B126" s="54"/>
      <c r="C126" s="54"/>
      <c r="D126" s="54"/>
      <c r="F126" s="109"/>
      <c r="M126" s="109"/>
      <c r="N126" s="109"/>
      <c r="O126" s="109"/>
      <c r="Q126" s="51"/>
      <c r="R126" s="54"/>
      <c r="S126" s="54"/>
      <c r="T126" s="54"/>
      <c r="U126" s="54"/>
      <c r="V126" s="54"/>
      <c r="W126" s="54"/>
      <c r="X126" s="54"/>
      <c r="Y126" s="54"/>
      <c r="Z126" s="54"/>
    </row>
    <row r="127" ht="15.75" customHeight="1">
      <c r="A127" s="54"/>
      <c r="B127" s="54"/>
      <c r="C127" s="54"/>
      <c r="D127" s="54"/>
      <c r="F127" s="109"/>
      <c r="M127" s="109"/>
      <c r="N127" s="109"/>
      <c r="O127" s="109"/>
      <c r="Q127" s="51"/>
      <c r="R127" s="54"/>
      <c r="S127" s="54"/>
      <c r="T127" s="54"/>
      <c r="U127" s="54"/>
      <c r="V127" s="54"/>
      <c r="W127" s="54"/>
      <c r="X127" s="54"/>
      <c r="Y127" s="54"/>
      <c r="Z127" s="54"/>
    </row>
    <row r="128" ht="15.75" customHeight="1">
      <c r="A128" s="54"/>
      <c r="B128" s="54"/>
      <c r="C128" s="54"/>
      <c r="D128" s="54"/>
      <c r="F128" s="109"/>
      <c r="M128" s="109"/>
      <c r="N128" s="109"/>
      <c r="O128" s="109"/>
      <c r="Q128" s="51"/>
      <c r="R128" s="54"/>
      <c r="S128" s="54"/>
      <c r="T128" s="54"/>
      <c r="U128" s="54"/>
      <c r="V128" s="54"/>
      <c r="W128" s="54"/>
      <c r="X128" s="54"/>
      <c r="Y128" s="54"/>
      <c r="Z128" s="54"/>
    </row>
    <row r="129" ht="15.75" customHeight="1">
      <c r="A129" s="54"/>
      <c r="B129" s="54"/>
      <c r="C129" s="54"/>
      <c r="D129" s="54"/>
      <c r="F129" s="109"/>
      <c r="M129" s="109"/>
      <c r="N129" s="109"/>
      <c r="O129" s="109"/>
      <c r="Q129" s="51"/>
      <c r="R129" s="54"/>
      <c r="S129" s="54"/>
      <c r="T129" s="54"/>
      <c r="U129" s="54"/>
      <c r="V129" s="54"/>
      <c r="W129" s="54"/>
      <c r="X129" s="54"/>
      <c r="Y129" s="54"/>
      <c r="Z129" s="54"/>
    </row>
    <row r="130" ht="15.75" customHeight="1">
      <c r="A130" s="54"/>
      <c r="B130" s="54"/>
      <c r="C130" s="54"/>
      <c r="D130" s="54"/>
      <c r="F130" s="109"/>
      <c r="M130" s="109"/>
      <c r="N130" s="109"/>
      <c r="O130" s="109"/>
      <c r="Q130" s="51"/>
      <c r="R130" s="54"/>
      <c r="S130" s="54"/>
      <c r="T130" s="54"/>
      <c r="U130" s="54"/>
      <c r="V130" s="54"/>
      <c r="W130" s="54"/>
      <c r="X130" s="54"/>
      <c r="Y130" s="54"/>
      <c r="Z130" s="54"/>
    </row>
    <row r="131" ht="15.75" customHeight="1">
      <c r="A131" s="54"/>
      <c r="B131" s="54"/>
      <c r="C131" s="54"/>
      <c r="D131" s="54"/>
      <c r="E131" s="54"/>
      <c r="F131" s="54"/>
      <c r="G131" s="54"/>
      <c r="H131" s="54"/>
      <c r="I131" s="54"/>
      <c r="J131" s="54"/>
      <c r="K131" s="54"/>
      <c r="L131" s="54"/>
      <c r="M131" s="54"/>
      <c r="N131" s="54"/>
      <c r="O131" s="54"/>
      <c r="P131" s="54"/>
      <c r="Q131" s="51"/>
      <c r="R131" s="54"/>
      <c r="S131" s="54"/>
      <c r="T131" s="54"/>
      <c r="U131" s="54"/>
      <c r="V131" s="54"/>
      <c r="W131" s="54"/>
      <c r="X131" s="54"/>
      <c r="Y131" s="54"/>
      <c r="Z131" s="54"/>
    </row>
    <row r="132" ht="15.75" customHeight="1">
      <c r="A132" s="54"/>
      <c r="B132" s="54"/>
      <c r="C132" s="54"/>
      <c r="D132" s="54"/>
      <c r="E132" s="54"/>
      <c r="F132" s="54"/>
      <c r="G132" s="54"/>
      <c r="H132" s="54"/>
      <c r="I132" s="54"/>
      <c r="J132" s="54"/>
      <c r="K132" s="54"/>
      <c r="L132" s="54"/>
      <c r="M132" s="54"/>
      <c r="N132" s="54"/>
      <c r="O132" s="54"/>
      <c r="P132" s="54"/>
      <c r="Q132" s="51"/>
      <c r="R132" s="54"/>
      <c r="S132" s="54"/>
      <c r="T132" s="54"/>
      <c r="U132" s="54"/>
      <c r="V132" s="54"/>
      <c r="W132" s="54"/>
      <c r="X132" s="54"/>
      <c r="Y132" s="54"/>
      <c r="Z132" s="54"/>
    </row>
    <row r="133" ht="15.75" customHeight="1">
      <c r="A133" s="54"/>
      <c r="B133" s="54"/>
      <c r="C133" s="54"/>
      <c r="D133" s="54"/>
      <c r="E133" s="54"/>
      <c r="F133" s="54"/>
      <c r="G133" s="54"/>
      <c r="H133" s="54"/>
      <c r="I133" s="54"/>
      <c r="J133" s="54"/>
      <c r="K133" s="54"/>
      <c r="L133" s="54"/>
      <c r="M133" s="54"/>
      <c r="N133" s="54"/>
      <c r="O133" s="54"/>
      <c r="P133" s="54"/>
      <c r="Q133" s="51"/>
      <c r="R133" s="54"/>
      <c r="S133" s="54"/>
      <c r="T133" s="54"/>
      <c r="U133" s="54"/>
      <c r="V133" s="54"/>
      <c r="W133" s="54"/>
      <c r="X133" s="54"/>
      <c r="Y133" s="54"/>
      <c r="Z133" s="54"/>
    </row>
    <row r="134" ht="42.0" customHeight="1">
      <c r="A134" s="54"/>
      <c r="B134" s="54"/>
      <c r="C134" s="54"/>
      <c r="D134" s="54"/>
      <c r="E134" s="54"/>
      <c r="F134" s="54"/>
      <c r="G134" s="54"/>
      <c r="H134" s="54"/>
      <c r="I134" s="54"/>
      <c r="J134" s="54"/>
      <c r="K134" s="54"/>
      <c r="L134" s="54"/>
      <c r="M134" s="54"/>
      <c r="N134" s="54"/>
      <c r="O134" s="54"/>
      <c r="P134" s="54"/>
      <c r="Q134" s="51"/>
      <c r="R134" s="54"/>
      <c r="S134" s="54"/>
      <c r="T134" s="54"/>
      <c r="U134" s="54"/>
      <c r="V134" s="54"/>
      <c r="W134" s="54"/>
      <c r="X134" s="54"/>
      <c r="Y134" s="54"/>
      <c r="Z134" s="54"/>
    </row>
    <row r="135" ht="15.75" customHeight="1">
      <c r="A135" s="54"/>
      <c r="B135" s="54"/>
      <c r="C135" s="54"/>
      <c r="D135" s="54"/>
      <c r="E135" s="54"/>
      <c r="F135" s="54"/>
      <c r="G135" s="54"/>
      <c r="H135" s="54"/>
      <c r="I135" s="54"/>
      <c r="J135" s="54"/>
      <c r="K135" s="54"/>
      <c r="L135" s="54"/>
      <c r="M135" s="54"/>
      <c r="N135" s="54"/>
      <c r="O135" s="54"/>
      <c r="P135" s="54"/>
      <c r="Q135" s="51"/>
      <c r="R135" s="54"/>
      <c r="S135" s="54"/>
      <c r="T135" s="54"/>
      <c r="U135" s="54"/>
      <c r="V135" s="54"/>
      <c r="W135" s="54"/>
      <c r="X135" s="54"/>
      <c r="Y135" s="54"/>
      <c r="Z135" s="54"/>
    </row>
    <row r="136" ht="15.75" customHeight="1">
      <c r="A136" s="54"/>
      <c r="B136" s="54"/>
      <c r="C136" s="54"/>
      <c r="D136" s="54"/>
      <c r="E136" s="54"/>
      <c r="F136" s="54"/>
      <c r="G136" s="54"/>
      <c r="H136" s="54"/>
      <c r="I136" s="54"/>
      <c r="J136" s="54"/>
      <c r="K136" s="54"/>
      <c r="L136" s="54"/>
      <c r="M136" s="54"/>
      <c r="N136" s="54"/>
      <c r="O136" s="54"/>
      <c r="P136" s="54"/>
      <c r="Q136" s="51"/>
      <c r="R136" s="54"/>
      <c r="S136" s="54"/>
      <c r="T136" s="54"/>
      <c r="U136" s="54"/>
      <c r="V136" s="54"/>
      <c r="W136" s="54"/>
      <c r="X136" s="54"/>
      <c r="Y136" s="54"/>
      <c r="Z136" s="54"/>
    </row>
    <row r="137" ht="15.75" customHeight="1">
      <c r="A137" s="54"/>
      <c r="B137" s="54"/>
      <c r="C137" s="54"/>
      <c r="D137" s="54"/>
      <c r="E137" s="54"/>
      <c r="F137" s="54"/>
      <c r="G137" s="54"/>
      <c r="H137" s="54"/>
      <c r="I137" s="54"/>
      <c r="J137" s="54"/>
      <c r="K137" s="54"/>
      <c r="L137" s="54"/>
      <c r="M137" s="54"/>
      <c r="N137" s="54"/>
      <c r="O137" s="54"/>
      <c r="P137" s="54"/>
      <c r="Q137" s="51"/>
      <c r="R137" s="54"/>
      <c r="S137" s="54"/>
      <c r="T137" s="54"/>
      <c r="U137" s="54"/>
      <c r="V137" s="54"/>
      <c r="W137" s="54"/>
      <c r="X137" s="54"/>
      <c r="Y137" s="54"/>
      <c r="Z137" s="54"/>
    </row>
    <row r="138" ht="15.75" customHeight="1">
      <c r="A138" s="54"/>
      <c r="B138" s="54"/>
      <c r="C138" s="54"/>
      <c r="D138" s="54"/>
      <c r="E138" s="54"/>
      <c r="F138" s="54"/>
      <c r="G138" s="54"/>
      <c r="H138" s="54"/>
      <c r="I138" s="54"/>
      <c r="J138" s="54"/>
      <c r="K138" s="54"/>
      <c r="L138" s="54"/>
      <c r="M138" s="54"/>
      <c r="N138" s="54"/>
      <c r="O138" s="54"/>
      <c r="P138" s="54"/>
      <c r="Q138" s="51"/>
      <c r="R138" s="54"/>
      <c r="S138" s="54"/>
      <c r="T138" s="54"/>
      <c r="U138" s="54"/>
      <c r="V138" s="54"/>
      <c r="W138" s="54"/>
      <c r="X138" s="54"/>
      <c r="Y138" s="54"/>
      <c r="Z138" s="54"/>
    </row>
    <row r="139" ht="15.75" customHeight="1">
      <c r="A139" s="54"/>
      <c r="B139" s="54"/>
      <c r="C139" s="54"/>
      <c r="D139" s="54"/>
      <c r="E139" s="54"/>
      <c r="F139" s="54"/>
      <c r="G139" s="54"/>
      <c r="H139" s="54"/>
      <c r="I139" s="54"/>
      <c r="J139" s="54"/>
      <c r="K139" s="54"/>
      <c r="L139" s="54"/>
      <c r="M139" s="54"/>
      <c r="N139" s="54"/>
      <c r="O139" s="54"/>
      <c r="P139" s="54"/>
      <c r="Q139" s="51"/>
      <c r="R139" s="54"/>
      <c r="S139" s="54"/>
      <c r="T139" s="54"/>
      <c r="U139" s="54"/>
      <c r="V139" s="54"/>
      <c r="W139" s="54"/>
      <c r="X139" s="54"/>
      <c r="Y139" s="54"/>
      <c r="Z139" s="54"/>
    </row>
    <row r="140" ht="15.75" customHeight="1">
      <c r="A140" s="54"/>
      <c r="B140" s="54"/>
      <c r="C140" s="54"/>
      <c r="D140" s="54"/>
      <c r="E140" s="54"/>
      <c r="F140" s="54"/>
      <c r="G140" s="54"/>
      <c r="H140" s="54"/>
      <c r="I140" s="54"/>
      <c r="J140" s="54"/>
      <c r="K140" s="54"/>
      <c r="L140" s="54"/>
      <c r="M140" s="54"/>
      <c r="N140" s="54"/>
      <c r="O140" s="54"/>
      <c r="P140" s="54"/>
      <c r="Q140" s="51"/>
      <c r="R140" s="54"/>
      <c r="S140" s="54"/>
      <c r="T140" s="54"/>
      <c r="U140" s="54"/>
      <c r="V140" s="54"/>
      <c r="W140" s="54"/>
      <c r="X140" s="54"/>
      <c r="Y140" s="54"/>
      <c r="Z140" s="54"/>
    </row>
    <row r="141" ht="15.75" customHeight="1">
      <c r="A141" s="54"/>
      <c r="B141" s="54"/>
      <c r="C141" s="54"/>
      <c r="D141" s="54"/>
      <c r="E141" s="54"/>
      <c r="F141" s="54"/>
      <c r="G141" s="54"/>
      <c r="H141" s="54"/>
      <c r="I141" s="54"/>
      <c r="J141" s="54"/>
      <c r="K141" s="54"/>
      <c r="L141" s="54"/>
      <c r="M141" s="54"/>
      <c r="N141" s="54"/>
      <c r="O141" s="54"/>
      <c r="P141" s="54"/>
      <c r="Q141" s="51"/>
      <c r="R141" s="54"/>
      <c r="S141" s="54"/>
      <c r="T141" s="54"/>
      <c r="U141" s="54"/>
      <c r="V141" s="54"/>
      <c r="W141" s="54"/>
      <c r="X141" s="54"/>
      <c r="Y141" s="54"/>
      <c r="Z141" s="54"/>
    </row>
    <row r="142" ht="48.0" customHeight="1">
      <c r="A142" s="54"/>
      <c r="B142" s="54"/>
      <c r="C142" s="54"/>
      <c r="D142" s="54"/>
      <c r="E142" s="54"/>
      <c r="F142" s="54"/>
      <c r="G142" s="54"/>
      <c r="H142" s="54"/>
      <c r="I142" s="54"/>
      <c r="J142" s="54"/>
      <c r="K142" s="54"/>
      <c r="L142" s="54"/>
      <c r="M142" s="54"/>
      <c r="N142" s="54"/>
      <c r="O142" s="54"/>
      <c r="P142" s="54"/>
      <c r="Q142" s="51"/>
      <c r="R142" s="54"/>
      <c r="S142" s="54"/>
      <c r="T142" s="54"/>
      <c r="U142" s="54"/>
      <c r="V142" s="54"/>
      <c r="W142" s="54"/>
      <c r="X142" s="54"/>
      <c r="Y142" s="54"/>
      <c r="Z142" s="54"/>
    </row>
    <row r="143" ht="15.75" customHeight="1">
      <c r="A143" s="54"/>
      <c r="B143" s="54"/>
      <c r="C143" s="54"/>
      <c r="D143" s="54"/>
      <c r="E143" s="54"/>
      <c r="F143" s="54"/>
      <c r="G143" s="54"/>
      <c r="H143" s="54"/>
      <c r="I143" s="54"/>
      <c r="J143" s="54"/>
      <c r="K143" s="54"/>
      <c r="L143" s="54"/>
      <c r="M143" s="54"/>
      <c r="N143" s="54"/>
      <c r="O143" s="54"/>
      <c r="P143" s="54"/>
      <c r="Q143" s="51"/>
      <c r="R143" s="54"/>
      <c r="S143" s="54"/>
      <c r="T143" s="54"/>
      <c r="U143" s="54"/>
      <c r="V143" s="54"/>
      <c r="W143" s="54"/>
      <c r="X143" s="54"/>
      <c r="Y143" s="54"/>
      <c r="Z143" s="54"/>
    </row>
    <row r="144" ht="15.75" customHeight="1">
      <c r="A144" s="54"/>
      <c r="B144" s="54"/>
      <c r="C144" s="54"/>
      <c r="D144" s="54"/>
      <c r="E144" s="54"/>
      <c r="F144" s="54"/>
      <c r="G144" s="54"/>
      <c r="H144" s="54"/>
      <c r="I144" s="54"/>
      <c r="J144" s="54"/>
      <c r="K144" s="54"/>
      <c r="L144" s="54"/>
      <c r="M144" s="54"/>
      <c r="N144" s="54"/>
      <c r="O144" s="54"/>
      <c r="P144" s="54"/>
      <c r="Q144" s="51"/>
      <c r="R144" s="54"/>
      <c r="S144" s="54"/>
      <c r="T144" s="54"/>
      <c r="U144" s="54"/>
      <c r="V144" s="54"/>
      <c r="W144" s="54"/>
      <c r="X144" s="54"/>
      <c r="Y144" s="54"/>
      <c r="Z144" s="54"/>
    </row>
    <row r="145" ht="46.5" customHeight="1">
      <c r="A145" s="54"/>
      <c r="B145" s="54"/>
      <c r="C145" s="54"/>
      <c r="D145" s="54"/>
      <c r="E145" s="54"/>
      <c r="F145" s="54"/>
      <c r="G145" s="54"/>
      <c r="H145" s="54"/>
      <c r="I145" s="54"/>
      <c r="J145" s="54"/>
      <c r="K145" s="54"/>
      <c r="L145" s="54"/>
      <c r="M145" s="54"/>
      <c r="N145" s="54"/>
      <c r="O145" s="54"/>
      <c r="P145" s="54"/>
      <c r="Q145" s="51"/>
      <c r="R145" s="54"/>
      <c r="S145" s="54"/>
      <c r="T145" s="54"/>
      <c r="U145" s="54"/>
      <c r="V145" s="54"/>
      <c r="W145" s="54"/>
      <c r="X145" s="54"/>
      <c r="Y145" s="54"/>
      <c r="Z145" s="54"/>
    </row>
    <row r="146" ht="34.5" customHeight="1">
      <c r="A146" s="54"/>
      <c r="B146" s="54"/>
      <c r="C146" s="54"/>
      <c r="D146" s="54"/>
      <c r="E146" s="54"/>
      <c r="F146" s="54"/>
      <c r="G146" s="54"/>
      <c r="H146" s="54"/>
      <c r="I146" s="54"/>
      <c r="J146" s="54"/>
      <c r="K146" s="54"/>
      <c r="L146" s="54"/>
      <c r="M146" s="54"/>
      <c r="N146" s="54"/>
      <c r="O146" s="54"/>
      <c r="P146" s="54"/>
      <c r="Q146" s="51"/>
      <c r="R146" s="54"/>
      <c r="S146" s="54"/>
      <c r="T146" s="54"/>
      <c r="U146" s="54"/>
      <c r="V146" s="54"/>
      <c r="W146" s="54"/>
      <c r="X146" s="54"/>
      <c r="Y146" s="54"/>
      <c r="Z146" s="54"/>
    </row>
    <row r="147" ht="45.0" customHeight="1">
      <c r="A147" s="54"/>
      <c r="B147" s="54"/>
      <c r="C147" s="54"/>
      <c r="D147" s="54"/>
      <c r="E147" s="54"/>
      <c r="F147" s="54"/>
      <c r="G147" s="54"/>
      <c r="H147" s="54"/>
      <c r="I147" s="54"/>
      <c r="J147" s="54"/>
      <c r="K147" s="54"/>
      <c r="L147" s="54"/>
      <c r="M147" s="54"/>
      <c r="N147" s="54"/>
      <c r="O147" s="54"/>
      <c r="P147" s="54"/>
      <c r="Q147" s="51"/>
      <c r="R147" s="54"/>
      <c r="S147" s="54"/>
      <c r="T147" s="54"/>
      <c r="U147" s="54"/>
      <c r="V147" s="54"/>
      <c r="W147" s="54"/>
      <c r="X147" s="54"/>
      <c r="Y147" s="54"/>
      <c r="Z147" s="54"/>
    </row>
    <row r="148" ht="46.5" customHeight="1">
      <c r="A148" s="54"/>
      <c r="B148" s="54"/>
      <c r="C148" s="54"/>
      <c r="D148" s="54"/>
      <c r="E148" s="54"/>
      <c r="F148" s="54"/>
      <c r="G148" s="54"/>
      <c r="H148" s="54"/>
      <c r="I148" s="54"/>
      <c r="J148" s="54"/>
      <c r="K148" s="54"/>
      <c r="L148" s="54"/>
      <c r="M148" s="54"/>
      <c r="N148" s="54"/>
      <c r="O148" s="54"/>
      <c r="P148" s="54"/>
      <c r="Q148" s="51"/>
      <c r="R148" s="54"/>
      <c r="S148" s="54"/>
      <c r="T148" s="54"/>
      <c r="U148" s="54"/>
      <c r="V148" s="54"/>
      <c r="W148" s="54"/>
      <c r="X148" s="54"/>
      <c r="Y148" s="54"/>
      <c r="Z148" s="54"/>
    </row>
    <row r="149" ht="45.0" customHeight="1">
      <c r="A149" s="54"/>
      <c r="B149" s="54"/>
      <c r="C149" s="54"/>
      <c r="D149" s="54"/>
      <c r="E149" s="54"/>
      <c r="F149" s="54"/>
      <c r="G149" s="54"/>
      <c r="H149" s="54"/>
      <c r="I149" s="54"/>
      <c r="J149" s="54"/>
      <c r="K149" s="54"/>
      <c r="L149" s="54"/>
      <c r="M149" s="54"/>
      <c r="N149" s="54"/>
      <c r="O149" s="54"/>
      <c r="P149" s="54"/>
      <c r="Q149" s="51"/>
      <c r="R149" s="54"/>
      <c r="S149" s="54"/>
      <c r="T149" s="54"/>
      <c r="U149" s="54"/>
      <c r="V149" s="54"/>
      <c r="W149" s="54"/>
      <c r="X149" s="54"/>
      <c r="Y149" s="54"/>
      <c r="Z149" s="54"/>
    </row>
    <row r="150" ht="43.5" customHeight="1">
      <c r="A150" s="54"/>
      <c r="B150" s="54"/>
      <c r="C150" s="54"/>
      <c r="D150" s="54"/>
      <c r="E150" s="54"/>
      <c r="F150" s="54"/>
      <c r="G150" s="54"/>
      <c r="H150" s="54"/>
      <c r="I150" s="54"/>
      <c r="J150" s="54"/>
      <c r="K150" s="54"/>
      <c r="L150" s="54"/>
      <c r="M150" s="54"/>
      <c r="N150" s="54"/>
      <c r="O150" s="54"/>
      <c r="P150" s="54"/>
      <c r="Q150" s="51"/>
      <c r="R150" s="54"/>
      <c r="S150" s="54"/>
      <c r="T150" s="54"/>
      <c r="U150" s="54"/>
      <c r="V150" s="54"/>
      <c r="W150" s="54"/>
      <c r="X150" s="54"/>
      <c r="Y150" s="54"/>
      <c r="Z150" s="54"/>
    </row>
    <row r="151" ht="37.5" customHeight="1">
      <c r="A151" s="54"/>
      <c r="B151" s="54"/>
      <c r="C151" s="54"/>
      <c r="D151" s="54"/>
      <c r="E151" s="54"/>
      <c r="F151" s="54"/>
      <c r="G151" s="54"/>
      <c r="H151" s="54"/>
      <c r="I151" s="54"/>
      <c r="J151" s="54"/>
      <c r="K151" s="54"/>
      <c r="L151" s="54"/>
      <c r="M151" s="54"/>
      <c r="N151" s="54"/>
      <c r="O151" s="54"/>
      <c r="P151" s="54"/>
      <c r="Q151" s="51"/>
      <c r="R151" s="54"/>
      <c r="S151" s="54"/>
      <c r="T151" s="54"/>
      <c r="U151" s="54"/>
      <c r="V151" s="54"/>
      <c r="W151" s="54"/>
      <c r="X151" s="54"/>
      <c r="Y151" s="54"/>
      <c r="Z151" s="54"/>
    </row>
    <row r="152" ht="36.0" customHeight="1">
      <c r="A152" s="54"/>
      <c r="B152" s="54"/>
      <c r="C152" s="54"/>
      <c r="D152" s="54"/>
      <c r="E152" s="54"/>
      <c r="F152" s="54"/>
      <c r="G152" s="54"/>
      <c r="H152" s="54"/>
      <c r="I152" s="54"/>
      <c r="J152" s="54"/>
      <c r="K152" s="54"/>
      <c r="L152" s="54"/>
      <c r="M152" s="54"/>
      <c r="N152" s="54"/>
      <c r="O152" s="54"/>
      <c r="P152" s="54"/>
      <c r="Q152" s="51"/>
      <c r="R152" s="54"/>
      <c r="S152" s="54"/>
      <c r="T152" s="54"/>
      <c r="U152" s="54"/>
      <c r="V152" s="54"/>
      <c r="W152" s="54"/>
      <c r="X152" s="54"/>
      <c r="Y152" s="54"/>
      <c r="Z152" s="54"/>
    </row>
    <row r="153" ht="43.5" customHeight="1">
      <c r="A153" s="54"/>
      <c r="B153" s="54"/>
      <c r="C153" s="54"/>
      <c r="D153" s="54"/>
      <c r="E153" s="54"/>
      <c r="F153" s="54"/>
      <c r="G153" s="54"/>
      <c r="H153" s="54"/>
      <c r="I153" s="54"/>
      <c r="J153" s="54"/>
      <c r="K153" s="54"/>
      <c r="L153" s="54"/>
      <c r="M153" s="54"/>
      <c r="N153" s="54"/>
      <c r="O153" s="54"/>
      <c r="P153" s="54"/>
      <c r="Q153" s="51"/>
      <c r="R153" s="54"/>
      <c r="S153" s="54"/>
      <c r="T153" s="54"/>
      <c r="U153" s="54"/>
      <c r="V153" s="54"/>
      <c r="W153" s="54"/>
      <c r="X153" s="54"/>
      <c r="Y153" s="54"/>
      <c r="Z153" s="54"/>
    </row>
    <row r="154" ht="39.0" customHeight="1">
      <c r="A154" s="54"/>
      <c r="B154" s="54"/>
      <c r="C154" s="54"/>
      <c r="D154" s="54"/>
      <c r="E154" s="54"/>
      <c r="F154" s="54"/>
      <c r="G154" s="54"/>
      <c r="H154" s="54"/>
      <c r="I154" s="54"/>
      <c r="J154" s="54"/>
      <c r="K154" s="54"/>
      <c r="L154" s="54"/>
      <c r="M154" s="54"/>
      <c r="N154" s="54"/>
      <c r="O154" s="54"/>
      <c r="P154" s="54"/>
      <c r="Q154" s="51"/>
      <c r="R154" s="54"/>
      <c r="S154" s="54"/>
      <c r="T154" s="54"/>
      <c r="U154" s="54"/>
      <c r="V154" s="54"/>
      <c r="W154" s="54"/>
      <c r="X154" s="54"/>
      <c r="Y154" s="54"/>
      <c r="Z154" s="54"/>
    </row>
    <row r="155" ht="15.75" customHeight="1">
      <c r="A155" s="54"/>
      <c r="B155" s="54"/>
      <c r="C155" s="54"/>
      <c r="D155" s="54"/>
      <c r="E155" s="54"/>
      <c r="F155" s="54"/>
      <c r="G155" s="54"/>
      <c r="H155" s="54"/>
      <c r="I155" s="54"/>
      <c r="J155" s="54"/>
      <c r="K155" s="54"/>
      <c r="L155" s="54"/>
      <c r="M155" s="54"/>
      <c r="N155" s="54"/>
      <c r="O155" s="54"/>
      <c r="P155" s="54"/>
      <c r="Q155" s="51"/>
      <c r="R155" s="54"/>
      <c r="S155" s="54"/>
      <c r="T155" s="54"/>
      <c r="U155" s="54"/>
      <c r="V155" s="54"/>
      <c r="W155" s="54"/>
      <c r="X155" s="54"/>
      <c r="Y155" s="54"/>
      <c r="Z155" s="54"/>
    </row>
    <row r="156" ht="39.0" customHeight="1">
      <c r="A156" s="54"/>
      <c r="B156" s="54"/>
      <c r="C156" s="54"/>
      <c r="D156" s="54"/>
      <c r="E156" s="54"/>
      <c r="F156" s="54"/>
      <c r="G156" s="54"/>
      <c r="H156" s="54"/>
      <c r="I156" s="54"/>
      <c r="J156" s="54"/>
      <c r="K156" s="54"/>
      <c r="L156" s="54"/>
      <c r="M156" s="54"/>
      <c r="N156" s="54"/>
      <c r="O156" s="54"/>
      <c r="P156" s="54"/>
      <c r="Q156" s="51"/>
      <c r="R156" s="54"/>
      <c r="S156" s="54"/>
      <c r="T156" s="54"/>
      <c r="U156" s="54"/>
      <c r="V156" s="54"/>
      <c r="W156" s="54"/>
      <c r="X156" s="54"/>
      <c r="Y156" s="54"/>
      <c r="Z156" s="54"/>
    </row>
    <row r="157" ht="42.0" customHeight="1">
      <c r="A157" s="54"/>
      <c r="B157" s="54"/>
      <c r="C157" s="54"/>
      <c r="D157" s="54"/>
      <c r="E157" s="54"/>
      <c r="F157" s="54"/>
      <c r="G157" s="54"/>
      <c r="H157" s="54"/>
      <c r="I157" s="54"/>
      <c r="J157" s="54"/>
      <c r="K157" s="54"/>
      <c r="L157" s="54"/>
      <c r="M157" s="54"/>
      <c r="N157" s="54"/>
      <c r="O157" s="54"/>
      <c r="P157" s="54"/>
      <c r="Q157" s="51"/>
      <c r="R157" s="54"/>
      <c r="S157" s="54"/>
      <c r="T157" s="54"/>
      <c r="U157" s="54"/>
      <c r="V157" s="54"/>
      <c r="W157" s="54"/>
      <c r="X157" s="54"/>
      <c r="Y157" s="54"/>
      <c r="Z157" s="54"/>
    </row>
    <row r="158" ht="15.75" customHeight="1">
      <c r="A158" s="54"/>
      <c r="B158" s="54"/>
      <c r="C158" s="54"/>
      <c r="D158" s="54"/>
      <c r="E158" s="54"/>
      <c r="F158" s="54"/>
      <c r="G158" s="54"/>
      <c r="H158" s="54"/>
      <c r="I158" s="54"/>
      <c r="J158" s="54"/>
      <c r="K158" s="54"/>
      <c r="L158" s="54"/>
      <c r="M158" s="54"/>
      <c r="N158" s="54"/>
      <c r="O158" s="54"/>
      <c r="P158" s="54"/>
      <c r="Q158" s="51"/>
      <c r="R158" s="54"/>
      <c r="S158" s="54"/>
      <c r="T158" s="54"/>
      <c r="U158" s="54"/>
      <c r="V158" s="54"/>
      <c r="W158" s="54"/>
      <c r="X158" s="54"/>
      <c r="Y158" s="54"/>
      <c r="Z158" s="54"/>
    </row>
    <row r="159" ht="15.75" customHeight="1">
      <c r="A159" s="54"/>
      <c r="B159" s="54"/>
      <c r="C159" s="54"/>
      <c r="D159" s="54"/>
      <c r="E159" s="54"/>
      <c r="F159" s="54"/>
      <c r="G159" s="54"/>
      <c r="H159" s="54"/>
      <c r="I159" s="54"/>
      <c r="J159" s="54"/>
      <c r="K159" s="54"/>
      <c r="L159" s="54"/>
      <c r="M159" s="54"/>
      <c r="N159" s="54"/>
      <c r="O159" s="54"/>
      <c r="P159" s="54"/>
      <c r="Q159" s="51"/>
      <c r="R159" s="54"/>
      <c r="S159" s="54"/>
      <c r="T159" s="54"/>
      <c r="U159" s="54"/>
      <c r="V159" s="54"/>
      <c r="W159" s="54"/>
      <c r="X159" s="54"/>
      <c r="Y159" s="54"/>
      <c r="Z159" s="54"/>
    </row>
    <row r="160" ht="15.75" customHeight="1">
      <c r="A160" s="54"/>
      <c r="B160" s="54"/>
      <c r="C160" s="54"/>
      <c r="D160" s="54"/>
      <c r="E160" s="54"/>
      <c r="F160" s="54"/>
      <c r="G160" s="54"/>
      <c r="H160" s="54"/>
      <c r="I160" s="54"/>
      <c r="J160" s="54"/>
      <c r="K160" s="54"/>
      <c r="L160" s="54"/>
      <c r="M160" s="54"/>
      <c r="N160" s="54"/>
      <c r="O160" s="54"/>
      <c r="P160" s="54"/>
      <c r="Q160" s="51"/>
      <c r="R160" s="54"/>
      <c r="S160" s="54"/>
      <c r="T160" s="54"/>
      <c r="U160" s="54"/>
      <c r="V160" s="54"/>
      <c r="W160" s="54"/>
      <c r="X160" s="54"/>
      <c r="Y160" s="54"/>
      <c r="Z160" s="54"/>
    </row>
    <row r="161" ht="42.0" customHeight="1">
      <c r="A161" s="54"/>
      <c r="B161" s="54"/>
      <c r="C161" s="54"/>
      <c r="D161" s="54"/>
      <c r="E161" s="54"/>
      <c r="F161" s="54"/>
      <c r="G161" s="54"/>
      <c r="H161" s="54"/>
      <c r="I161" s="54"/>
      <c r="J161" s="54"/>
      <c r="K161" s="54"/>
      <c r="L161" s="54"/>
      <c r="M161" s="54"/>
      <c r="N161" s="54"/>
      <c r="O161" s="54"/>
      <c r="P161" s="54"/>
      <c r="Q161" s="51"/>
      <c r="R161" s="54"/>
      <c r="S161" s="54"/>
      <c r="T161" s="54"/>
      <c r="U161" s="54"/>
      <c r="V161" s="54"/>
      <c r="W161" s="54"/>
      <c r="X161" s="54"/>
      <c r="Y161" s="54"/>
      <c r="Z161" s="54"/>
    </row>
    <row r="162" ht="42.0" customHeight="1">
      <c r="A162" s="54"/>
      <c r="B162" s="54"/>
      <c r="C162" s="54"/>
      <c r="D162" s="54"/>
      <c r="E162" s="54"/>
      <c r="F162" s="54"/>
      <c r="G162" s="54"/>
      <c r="H162" s="54"/>
      <c r="I162" s="54"/>
      <c r="J162" s="54"/>
      <c r="K162" s="54"/>
      <c r="L162" s="54"/>
      <c r="M162" s="54"/>
      <c r="N162" s="54"/>
      <c r="O162" s="54"/>
      <c r="P162" s="54"/>
      <c r="Q162" s="51"/>
      <c r="R162" s="54"/>
      <c r="S162" s="54"/>
      <c r="T162" s="54"/>
      <c r="U162" s="54"/>
      <c r="V162" s="54"/>
      <c r="W162" s="54"/>
      <c r="X162" s="54"/>
      <c r="Y162" s="54"/>
      <c r="Z162" s="54"/>
    </row>
    <row r="163" ht="36.0" customHeight="1">
      <c r="A163" s="54"/>
      <c r="B163" s="54"/>
      <c r="C163" s="54"/>
      <c r="D163" s="54"/>
      <c r="E163" s="54"/>
      <c r="F163" s="54"/>
      <c r="G163" s="54"/>
      <c r="H163" s="54"/>
      <c r="I163" s="54"/>
      <c r="J163" s="54"/>
      <c r="K163" s="54"/>
      <c r="L163" s="54"/>
      <c r="M163" s="54"/>
      <c r="N163" s="54"/>
      <c r="O163" s="54"/>
      <c r="P163" s="54"/>
      <c r="Q163" s="51"/>
      <c r="R163" s="54"/>
      <c r="S163" s="54"/>
      <c r="T163" s="54"/>
      <c r="U163" s="54"/>
      <c r="V163" s="54"/>
      <c r="W163" s="54"/>
      <c r="X163" s="54"/>
      <c r="Y163" s="54"/>
      <c r="Z163" s="54"/>
    </row>
    <row r="164" ht="37.5" customHeight="1">
      <c r="A164" s="54"/>
      <c r="B164" s="54"/>
      <c r="C164" s="54"/>
      <c r="D164" s="54"/>
      <c r="E164" s="54"/>
      <c r="F164" s="54"/>
      <c r="G164" s="54"/>
      <c r="H164" s="54"/>
      <c r="I164" s="54"/>
      <c r="J164" s="54"/>
      <c r="K164" s="54"/>
      <c r="L164" s="54"/>
      <c r="M164" s="54"/>
      <c r="N164" s="54"/>
      <c r="O164" s="54"/>
      <c r="P164" s="54"/>
      <c r="Q164" s="51"/>
      <c r="R164" s="54"/>
      <c r="S164" s="54"/>
      <c r="T164" s="54"/>
      <c r="U164" s="54"/>
      <c r="V164" s="54"/>
      <c r="W164" s="54"/>
      <c r="X164" s="54"/>
      <c r="Y164" s="54"/>
      <c r="Z164" s="54"/>
    </row>
    <row r="165" ht="48.0" customHeight="1">
      <c r="A165" s="54"/>
      <c r="B165" s="54"/>
      <c r="C165" s="54"/>
      <c r="D165" s="54"/>
      <c r="E165" s="54"/>
      <c r="F165" s="54"/>
      <c r="G165" s="54"/>
      <c r="H165" s="54"/>
      <c r="I165" s="54"/>
      <c r="J165" s="54"/>
      <c r="K165" s="54"/>
      <c r="L165" s="54"/>
      <c r="M165" s="54"/>
      <c r="N165" s="54"/>
      <c r="O165" s="54"/>
      <c r="P165" s="54"/>
      <c r="Q165" s="51"/>
      <c r="R165" s="54"/>
      <c r="S165" s="54"/>
      <c r="T165" s="54"/>
      <c r="U165" s="54"/>
      <c r="V165" s="54"/>
      <c r="W165" s="54"/>
      <c r="X165" s="54"/>
      <c r="Y165" s="54"/>
      <c r="Z165" s="54"/>
    </row>
    <row r="166" ht="37.5" customHeight="1">
      <c r="A166" s="54"/>
      <c r="B166" s="54"/>
      <c r="C166" s="54"/>
      <c r="D166" s="54"/>
      <c r="E166" s="54"/>
      <c r="F166" s="54"/>
      <c r="G166" s="54"/>
      <c r="H166" s="54"/>
      <c r="I166" s="54"/>
      <c r="J166" s="54"/>
      <c r="K166" s="54"/>
      <c r="L166" s="54"/>
      <c r="M166" s="54"/>
      <c r="N166" s="54"/>
      <c r="O166" s="54"/>
      <c r="P166" s="54"/>
      <c r="Q166" s="51"/>
      <c r="R166" s="54"/>
      <c r="S166" s="54"/>
      <c r="T166" s="54"/>
      <c r="U166" s="54"/>
      <c r="V166" s="54"/>
      <c r="W166" s="54"/>
      <c r="X166" s="54"/>
      <c r="Y166" s="54"/>
      <c r="Z166" s="54"/>
    </row>
    <row r="167" ht="15.75" customHeight="1">
      <c r="A167" s="54"/>
      <c r="B167" s="54"/>
      <c r="C167" s="54"/>
      <c r="D167" s="54"/>
      <c r="E167" s="54"/>
      <c r="F167" s="54"/>
      <c r="G167" s="54"/>
      <c r="H167" s="54"/>
      <c r="I167" s="54"/>
      <c r="J167" s="54"/>
      <c r="K167" s="54"/>
      <c r="L167" s="54"/>
      <c r="M167" s="54"/>
      <c r="N167" s="54"/>
      <c r="O167" s="54"/>
      <c r="P167" s="54"/>
      <c r="Q167" s="51"/>
      <c r="R167" s="54"/>
      <c r="S167" s="54"/>
      <c r="T167" s="54"/>
      <c r="U167" s="54"/>
      <c r="V167" s="54"/>
      <c r="W167" s="54"/>
      <c r="X167" s="54"/>
      <c r="Y167" s="54"/>
      <c r="Z167" s="54"/>
    </row>
    <row r="168" ht="15.75" customHeight="1">
      <c r="A168" s="54"/>
      <c r="B168" s="54"/>
      <c r="C168" s="54"/>
      <c r="D168" s="54"/>
      <c r="E168" s="54"/>
      <c r="F168" s="54"/>
      <c r="G168" s="54"/>
      <c r="H168" s="54"/>
      <c r="I168" s="54"/>
      <c r="J168" s="54"/>
      <c r="K168" s="54"/>
      <c r="L168" s="54"/>
      <c r="M168" s="54"/>
      <c r="N168" s="54"/>
      <c r="O168" s="54"/>
      <c r="P168" s="54"/>
      <c r="Q168" s="51"/>
      <c r="R168" s="54"/>
      <c r="S168" s="54"/>
      <c r="T168" s="54"/>
      <c r="U168" s="54"/>
      <c r="V168" s="54"/>
      <c r="W168" s="54"/>
      <c r="X168" s="54"/>
      <c r="Y168" s="54"/>
      <c r="Z168" s="54"/>
    </row>
    <row r="169" ht="15.75" customHeight="1">
      <c r="A169" s="54"/>
      <c r="B169" s="54"/>
      <c r="C169" s="54"/>
      <c r="D169" s="54"/>
      <c r="E169" s="54"/>
      <c r="F169" s="54"/>
      <c r="G169" s="54"/>
      <c r="H169" s="54"/>
      <c r="I169" s="54"/>
      <c r="J169" s="54"/>
      <c r="K169" s="54"/>
      <c r="L169" s="54"/>
      <c r="M169" s="54"/>
      <c r="N169" s="54"/>
      <c r="O169" s="54"/>
      <c r="P169" s="54"/>
      <c r="Q169" s="51"/>
      <c r="R169" s="54"/>
      <c r="S169" s="54"/>
      <c r="T169" s="54"/>
      <c r="U169" s="54"/>
      <c r="V169" s="54"/>
      <c r="W169" s="54"/>
      <c r="X169" s="54"/>
      <c r="Y169" s="54"/>
      <c r="Z169" s="54"/>
    </row>
    <row r="170" ht="58.5" customHeight="1">
      <c r="A170" s="54"/>
      <c r="B170" s="54"/>
      <c r="C170" s="54"/>
      <c r="D170" s="54"/>
      <c r="E170" s="54"/>
      <c r="F170" s="54"/>
      <c r="G170" s="54"/>
      <c r="H170" s="54"/>
      <c r="I170" s="54"/>
      <c r="J170" s="54"/>
      <c r="K170" s="54"/>
      <c r="L170" s="54"/>
      <c r="M170" s="54"/>
      <c r="N170" s="54"/>
      <c r="O170" s="54"/>
      <c r="P170" s="54"/>
      <c r="Q170" s="51"/>
      <c r="R170" s="54"/>
      <c r="S170" s="54"/>
      <c r="T170" s="54"/>
      <c r="U170" s="54"/>
      <c r="V170" s="54"/>
      <c r="W170" s="54"/>
      <c r="X170" s="54"/>
      <c r="Y170" s="54"/>
      <c r="Z170" s="54"/>
    </row>
    <row r="171" ht="15.75" customHeight="1">
      <c r="A171" s="54"/>
      <c r="B171" s="54"/>
      <c r="C171" s="54"/>
      <c r="D171" s="54"/>
      <c r="E171" s="54"/>
      <c r="F171" s="54"/>
      <c r="G171" s="54"/>
      <c r="H171" s="54"/>
      <c r="I171" s="54"/>
      <c r="J171" s="54"/>
      <c r="K171" s="54"/>
      <c r="L171" s="54"/>
      <c r="M171" s="54"/>
      <c r="N171" s="54"/>
      <c r="O171" s="54"/>
      <c r="P171" s="54"/>
      <c r="Q171" s="51"/>
      <c r="R171" s="54"/>
      <c r="S171" s="54"/>
      <c r="T171" s="54"/>
      <c r="U171" s="54"/>
      <c r="V171" s="54"/>
      <c r="W171" s="54"/>
      <c r="X171" s="54"/>
      <c r="Y171" s="54"/>
      <c r="Z171" s="54"/>
    </row>
    <row r="172" ht="15.75" customHeight="1">
      <c r="A172" s="54"/>
      <c r="B172" s="54"/>
      <c r="C172" s="54"/>
      <c r="D172" s="54"/>
      <c r="E172" s="54"/>
      <c r="F172" s="54"/>
      <c r="G172" s="54"/>
      <c r="H172" s="54"/>
      <c r="I172" s="54"/>
      <c r="J172" s="54"/>
      <c r="K172" s="54"/>
      <c r="L172" s="54"/>
      <c r="M172" s="54"/>
      <c r="N172" s="54"/>
      <c r="O172" s="54"/>
      <c r="P172" s="54"/>
      <c r="Q172" s="51"/>
      <c r="R172" s="54"/>
      <c r="S172" s="54"/>
      <c r="T172" s="54"/>
      <c r="U172" s="54"/>
      <c r="V172" s="54"/>
      <c r="W172" s="54"/>
      <c r="X172" s="54"/>
      <c r="Y172" s="54"/>
      <c r="Z172" s="54"/>
    </row>
    <row r="173" ht="15.75" customHeight="1">
      <c r="A173" s="54"/>
      <c r="B173" s="54"/>
      <c r="C173" s="54"/>
      <c r="D173" s="54"/>
      <c r="E173" s="54"/>
      <c r="F173" s="54"/>
      <c r="G173" s="54"/>
      <c r="H173" s="54"/>
      <c r="I173" s="54"/>
      <c r="J173" s="54"/>
      <c r="K173" s="54"/>
      <c r="L173" s="54"/>
      <c r="M173" s="54"/>
      <c r="N173" s="54"/>
      <c r="O173" s="54"/>
      <c r="P173" s="54"/>
      <c r="Q173" s="51"/>
      <c r="R173" s="54"/>
      <c r="S173" s="54"/>
      <c r="T173" s="54"/>
      <c r="U173" s="54"/>
      <c r="V173" s="54"/>
      <c r="W173" s="54"/>
      <c r="X173" s="54"/>
      <c r="Y173" s="54"/>
      <c r="Z173" s="54"/>
    </row>
    <row r="174" ht="15.75" customHeight="1">
      <c r="A174" s="54"/>
      <c r="B174" s="54"/>
      <c r="C174" s="54"/>
      <c r="D174" s="54"/>
      <c r="E174" s="54"/>
      <c r="F174" s="54"/>
      <c r="G174" s="54"/>
      <c r="H174" s="54"/>
      <c r="I174" s="54"/>
      <c r="J174" s="54"/>
      <c r="K174" s="54"/>
      <c r="L174" s="54"/>
      <c r="M174" s="54"/>
      <c r="N174" s="54"/>
      <c r="O174" s="54"/>
      <c r="P174" s="54"/>
      <c r="Q174" s="51"/>
      <c r="R174" s="54"/>
      <c r="S174" s="54"/>
      <c r="T174" s="54"/>
      <c r="U174" s="54"/>
      <c r="V174" s="54"/>
      <c r="W174" s="54"/>
      <c r="X174" s="54"/>
      <c r="Y174" s="54"/>
      <c r="Z174" s="54"/>
    </row>
    <row r="175" ht="15.75" customHeight="1">
      <c r="A175" s="54"/>
      <c r="B175" s="54"/>
      <c r="C175" s="54"/>
      <c r="D175" s="54"/>
      <c r="E175" s="54"/>
      <c r="F175" s="54"/>
      <c r="G175" s="54"/>
      <c r="H175" s="54"/>
      <c r="I175" s="54"/>
      <c r="J175" s="54"/>
      <c r="K175" s="54"/>
      <c r="L175" s="54"/>
      <c r="M175" s="54"/>
      <c r="N175" s="54"/>
      <c r="O175" s="54"/>
      <c r="P175" s="54"/>
      <c r="Q175" s="51"/>
      <c r="R175" s="54"/>
      <c r="S175" s="54"/>
      <c r="T175" s="54"/>
      <c r="U175" s="54"/>
      <c r="V175" s="54"/>
      <c r="W175" s="54"/>
      <c r="X175" s="54"/>
      <c r="Y175" s="54"/>
      <c r="Z175" s="54"/>
    </row>
    <row r="176" ht="15.75" customHeight="1">
      <c r="A176" s="54"/>
      <c r="B176" s="54"/>
      <c r="C176" s="54"/>
      <c r="D176" s="54"/>
      <c r="E176" s="54"/>
      <c r="F176" s="54"/>
      <c r="G176" s="54"/>
      <c r="H176" s="54"/>
      <c r="I176" s="54"/>
      <c r="J176" s="54"/>
      <c r="K176" s="54"/>
      <c r="L176" s="54"/>
      <c r="M176" s="54"/>
      <c r="N176" s="54"/>
      <c r="O176" s="54"/>
      <c r="P176" s="54"/>
      <c r="Q176" s="51"/>
      <c r="R176" s="54"/>
      <c r="S176" s="54"/>
      <c r="T176" s="54"/>
      <c r="U176" s="54"/>
      <c r="V176" s="54"/>
      <c r="W176" s="54"/>
      <c r="X176" s="54"/>
      <c r="Y176" s="54"/>
      <c r="Z176" s="54"/>
    </row>
    <row r="177" ht="15.75" customHeight="1">
      <c r="A177" s="54"/>
      <c r="B177" s="54"/>
      <c r="C177" s="54"/>
      <c r="D177" s="54"/>
      <c r="E177" s="54"/>
      <c r="F177" s="54"/>
      <c r="G177" s="54"/>
      <c r="H177" s="54"/>
      <c r="I177" s="54"/>
      <c r="J177" s="54"/>
      <c r="K177" s="54"/>
      <c r="L177" s="54"/>
      <c r="M177" s="54"/>
      <c r="N177" s="54"/>
      <c r="O177" s="54"/>
      <c r="P177" s="54"/>
      <c r="Q177" s="51"/>
      <c r="R177" s="54"/>
      <c r="S177" s="54"/>
      <c r="T177" s="54"/>
      <c r="U177" s="54"/>
      <c r="V177" s="54"/>
      <c r="W177" s="54"/>
      <c r="X177" s="54"/>
      <c r="Y177" s="54"/>
      <c r="Z177" s="54"/>
    </row>
    <row r="178" ht="15.75" customHeight="1">
      <c r="A178" s="54"/>
      <c r="B178" s="54"/>
      <c r="C178" s="54"/>
      <c r="D178" s="54"/>
      <c r="E178" s="54"/>
      <c r="F178" s="54"/>
      <c r="G178" s="54"/>
      <c r="H178" s="54"/>
      <c r="I178" s="54"/>
      <c r="J178" s="54"/>
      <c r="K178" s="54"/>
      <c r="L178" s="54"/>
      <c r="M178" s="54"/>
      <c r="N178" s="54"/>
      <c r="O178" s="54"/>
      <c r="P178" s="54"/>
      <c r="Q178" s="51"/>
      <c r="R178" s="54"/>
      <c r="S178" s="54"/>
      <c r="T178" s="54"/>
      <c r="U178" s="54"/>
      <c r="V178" s="54"/>
      <c r="W178" s="54"/>
      <c r="X178" s="54"/>
      <c r="Y178" s="54"/>
      <c r="Z178" s="54"/>
    </row>
    <row r="179" ht="15.75" customHeight="1">
      <c r="A179" s="54"/>
      <c r="B179" s="54"/>
      <c r="C179" s="54"/>
      <c r="D179" s="54"/>
      <c r="E179" s="54"/>
      <c r="F179" s="54"/>
      <c r="G179" s="54"/>
      <c r="H179" s="54"/>
      <c r="I179" s="54"/>
      <c r="J179" s="54"/>
      <c r="K179" s="54"/>
      <c r="L179" s="54"/>
      <c r="M179" s="54"/>
      <c r="N179" s="54"/>
      <c r="O179" s="54"/>
      <c r="P179" s="54"/>
      <c r="Q179" s="51"/>
      <c r="R179" s="54"/>
      <c r="S179" s="54"/>
      <c r="T179" s="54"/>
      <c r="U179" s="54"/>
      <c r="V179" s="54"/>
      <c r="W179" s="54"/>
      <c r="X179" s="54"/>
      <c r="Y179" s="54"/>
      <c r="Z179" s="54"/>
    </row>
    <row r="180" ht="15.75" customHeight="1">
      <c r="A180" s="54"/>
      <c r="B180" s="54"/>
      <c r="C180" s="54"/>
      <c r="D180" s="54"/>
      <c r="E180" s="54"/>
      <c r="F180" s="54"/>
      <c r="G180" s="54"/>
      <c r="H180" s="54"/>
      <c r="I180" s="54"/>
      <c r="J180" s="54"/>
      <c r="K180" s="54"/>
      <c r="L180" s="54"/>
      <c r="M180" s="54"/>
      <c r="N180" s="54"/>
      <c r="O180" s="54"/>
      <c r="P180" s="54"/>
      <c r="Q180" s="51"/>
      <c r="R180" s="54"/>
      <c r="S180" s="54"/>
      <c r="T180" s="54"/>
      <c r="U180" s="54"/>
      <c r="V180" s="54"/>
      <c r="W180" s="54"/>
      <c r="X180" s="54"/>
      <c r="Y180" s="54"/>
      <c r="Z180" s="54"/>
    </row>
    <row r="181" ht="15.75" customHeight="1">
      <c r="A181" s="54"/>
      <c r="B181" s="54"/>
      <c r="C181" s="54"/>
      <c r="D181" s="54"/>
      <c r="E181" s="54"/>
      <c r="F181" s="54"/>
      <c r="G181" s="54"/>
      <c r="H181" s="54"/>
      <c r="I181" s="54"/>
      <c r="J181" s="54"/>
      <c r="K181" s="54"/>
      <c r="L181" s="54"/>
      <c r="M181" s="54"/>
      <c r="N181" s="54"/>
      <c r="O181" s="54"/>
      <c r="P181" s="54"/>
      <c r="Q181" s="51"/>
      <c r="R181" s="54"/>
      <c r="S181" s="54"/>
      <c r="T181" s="54"/>
      <c r="U181" s="54"/>
      <c r="V181" s="54"/>
      <c r="W181" s="54"/>
      <c r="X181" s="54"/>
      <c r="Y181" s="54"/>
      <c r="Z181" s="54"/>
    </row>
    <row r="182" ht="15.75" customHeight="1">
      <c r="A182" s="54"/>
      <c r="B182" s="54"/>
      <c r="C182" s="54"/>
      <c r="D182" s="54"/>
      <c r="E182" s="54"/>
      <c r="F182" s="54"/>
      <c r="G182" s="54"/>
      <c r="H182" s="54"/>
      <c r="I182" s="54"/>
      <c r="J182" s="54"/>
      <c r="K182" s="54"/>
      <c r="L182" s="54"/>
      <c r="M182" s="54"/>
      <c r="N182" s="54"/>
      <c r="O182" s="54"/>
      <c r="P182" s="54"/>
      <c r="Q182" s="51"/>
      <c r="R182" s="54"/>
      <c r="S182" s="54"/>
      <c r="T182" s="54"/>
      <c r="U182" s="54"/>
      <c r="V182" s="54"/>
      <c r="W182" s="54"/>
      <c r="X182" s="54"/>
      <c r="Y182" s="54"/>
      <c r="Z182" s="54"/>
    </row>
    <row r="183" ht="15.75" customHeight="1">
      <c r="A183" s="54"/>
      <c r="B183" s="54"/>
      <c r="C183" s="54"/>
      <c r="D183" s="54"/>
      <c r="E183" s="54"/>
      <c r="F183" s="54"/>
      <c r="G183" s="54"/>
      <c r="H183" s="54"/>
      <c r="I183" s="54"/>
      <c r="J183" s="54"/>
      <c r="K183" s="54"/>
      <c r="L183" s="54"/>
      <c r="M183" s="54"/>
      <c r="N183" s="54"/>
      <c r="O183" s="54"/>
      <c r="P183" s="54"/>
      <c r="Q183" s="51"/>
      <c r="R183" s="54"/>
      <c r="S183" s="54"/>
      <c r="T183" s="54"/>
      <c r="U183" s="54"/>
      <c r="V183" s="54"/>
      <c r="W183" s="54"/>
      <c r="X183" s="54"/>
      <c r="Y183" s="54"/>
      <c r="Z183" s="54"/>
    </row>
    <row r="184" ht="15.75" customHeight="1">
      <c r="A184" s="54"/>
      <c r="B184" s="54"/>
      <c r="C184" s="54"/>
      <c r="D184" s="54"/>
      <c r="E184" s="54"/>
      <c r="F184" s="54"/>
      <c r="G184" s="54"/>
      <c r="H184" s="54"/>
      <c r="I184" s="54"/>
      <c r="J184" s="54"/>
      <c r="K184" s="54"/>
      <c r="L184" s="54"/>
      <c r="M184" s="54"/>
      <c r="N184" s="54"/>
      <c r="O184" s="54"/>
      <c r="P184" s="54"/>
      <c r="Q184" s="51"/>
      <c r="R184" s="54"/>
      <c r="S184" s="54"/>
      <c r="T184" s="54"/>
      <c r="U184" s="54"/>
      <c r="V184" s="54"/>
      <c r="W184" s="54"/>
      <c r="X184" s="54"/>
      <c r="Y184" s="54"/>
      <c r="Z184" s="54"/>
    </row>
    <row r="185" ht="15.75" customHeight="1">
      <c r="A185" s="54"/>
      <c r="B185" s="54"/>
      <c r="C185" s="54"/>
      <c r="D185" s="54"/>
      <c r="E185" s="54"/>
      <c r="F185" s="54"/>
      <c r="G185" s="54"/>
      <c r="H185" s="54"/>
      <c r="I185" s="54"/>
      <c r="J185" s="54"/>
      <c r="K185" s="54"/>
      <c r="L185" s="54"/>
      <c r="M185" s="54"/>
      <c r="N185" s="54"/>
      <c r="O185" s="54"/>
      <c r="P185" s="54"/>
      <c r="Q185" s="51"/>
      <c r="R185" s="54"/>
      <c r="S185" s="54"/>
      <c r="T185" s="54"/>
      <c r="U185" s="54"/>
      <c r="V185" s="54"/>
      <c r="W185" s="54"/>
      <c r="X185" s="54"/>
      <c r="Y185" s="54"/>
      <c r="Z185" s="54"/>
    </row>
    <row r="186" ht="15.75" customHeight="1">
      <c r="A186" s="54"/>
      <c r="B186" s="54"/>
      <c r="C186" s="54"/>
      <c r="D186" s="54"/>
      <c r="E186" s="54"/>
      <c r="F186" s="54"/>
      <c r="G186" s="54"/>
      <c r="H186" s="54"/>
      <c r="I186" s="54"/>
      <c r="J186" s="54"/>
      <c r="K186" s="54"/>
      <c r="L186" s="54"/>
      <c r="M186" s="54"/>
      <c r="N186" s="54"/>
      <c r="O186" s="54"/>
      <c r="P186" s="54"/>
      <c r="Q186" s="51"/>
      <c r="R186" s="54"/>
      <c r="S186" s="54"/>
      <c r="T186" s="54"/>
      <c r="U186" s="54"/>
      <c r="V186" s="54"/>
      <c r="W186" s="54"/>
      <c r="X186" s="54"/>
      <c r="Y186" s="54"/>
      <c r="Z186" s="54"/>
    </row>
    <row r="187" ht="15.75" customHeight="1">
      <c r="A187" s="54"/>
      <c r="B187" s="54"/>
      <c r="C187" s="54"/>
      <c r="D187" s="54"/>
      <c r="E187" s="54"/>
      <c r="F187" s="54"/>
      <c r="G187" s="54"/>
      <c r="H187" s="54"/>
      <c r="I187" s="54"/>
      <c r="J187" s="54"/>
      <c r="K187" s="54"/>
      <c r="L187" s="54"/>
      <c r="M187" s="54"/>
      <c r="N187" s="54"/>
      <c r="O187" s="54"/>
      <c r="P187" s="54"/>
      <c r="Q187" s="51"/>
      <c r="R187" s="54"/>
      <c r="S187" s="54"/>
      <c r="T187" s="54"/>
      <c r="U187" s="54"/>
      <c r="V187" s="54"/>
      <c r="W187" s="54"/>
      <c r="X187" s="54"/>
      <c r="Y187" s="54"/>
      <c r="Z187" s="54"/>
    </row>
    <row r="188" ht="15.75" customHeight="1">
      <c r="A188" s="54"/>
      <c r="B188" s="54"/>
      <c r="C188" s="54"/>
      <c r="D188" s="54"/>
      <c r="E188" s="54"/>
      <c r="F188" s="54"/>
      <c r="G188" s="54"/>
      <c r="H188" s="54"/>
      <c r="I188" s="54"/>
      <c r="J188" s="54"/>
      <c r="K188" s="54"/>
      <c r="L188" s="54"/>
      <c r="M188" s="54"/>
      <c r="N188" s="54"/>
      <c r="O188" s="54"/>
      <c r="P188" s="54"/>
      <c r="Q188" s="51"/>
      <c r="R188" s="54"/>
      <c r="S188" s="54"/>
      <c r="T188" s="54"/>
      <c r="U188" s="54"/>
      <c r="V188" s="54"/>
      <c r="W188" s="54"/>
      <c r="X188" s="54"/>
      <c r="Y188" s="54"/>
      <c r="Z188" s="54"/>
    </row>
    <row r="189" ht="15.75" customHeight="1">
      <c r="A189" s="54"/>
      <c r="B189" s="54"/>
      <c r="C189" s="54"/>
      <c r="D189" s="54"/>
      <c r="E189" s="54"/>
      <c r="F189" s="54"/>
      <c r="G189" s="54"/>
      <c r="H189" s="54"/>
      <c r="I189" s="54"/>
      <c r="J189" s="54"/>
      <c r="K189" s="54"/>
      <c r="L189" s="54"/>
      <c r="M189" s="54"/>
      <c r="N189" s="54"/>
      <c r="O189" s="54"/>
      <c r="P189" s="54"/>
      <c r="Q189" s="51"/>
      <c r="R189" s="54"/>
      <c r="S189" s="54"/>
      <c r="T189" s="54"/>
      <c r="U189" s="54"/>
      <c r="V189" s="54"/>
      <c r="W189" s="54"/>
      <c r="X189" s="54"/>
      <c r="Y189" s="54"/>
      <c r="Z189" s="54"/>
    </row>
    <row r="190" ht="15.75" customHeight="1">
      <c r="A190" s="54"/>
      <c r="B190" s="54"/>
      <c r="C190" s="54"/>
      <c r="D190" s="54"/>
      <c r="E190" s="54"/>
      <c r="F190" s="54"/>
      <c r="G190" s="54"/>
      <c r="H190" s="54"/>
      <c r="I190" s="54"/>
      <c r="J190" s="54"/>
      <c r="K190" s="54"/>
      <c r="L190" s="54"/>
      <c r="M190" s="54"/>
      <c r="N190" s="54"/>
      <c r="O190" s="54"/>
      <c r="P190" s="54"/>
      <c r="Q190" s="51"/>
      <c r="R190" s="54"/>
      <c r="S190" s="54"/>
      <c r="T190" s="54"/>
      <c r="U190" s="54"/>
      <c r="V190" s="54"/>
      <c r="W190" s="54"/>
      <c r="X190" s="54"/>
      <c r="Y190" s="54"/>
      <c r="Z190" s="54"/>
    </row>
    <row r="191" ht="15.75" customHeight="1">
      <c r="A191" s="54"/>
      <c r="B191" s="54"/>
      <c r="C191" s="54"/>
      <c r="D191" s="54"/>
      <c r="E191" s="54"/>
      <c r="F191" s="54"/>
      <c r="G191" s="54"/>
      <c r="H191" s="54"/>
      <c r="I191" s="54"/>
      <c r="J191" s="54"/>
      <c r="K191" s="54"/>
      <c r="L191" s="54"/>
      <c r="M191" s="54"/>
      <c r="N191" s="54"/>
      <c r="O191" s="54"/>
      <c r="P191" s="54"/>
      <c r="Q191" s="51"/>
      <c r="R191" s="54"/>
      <c r="S191" s="54"/>
      <c r="T191" s="54"/>
      <c r="U191" s="54"/>
      <c r="V191" s="54"/>
      <c r="W191" s="54"/>
      <c r="X191" s="54"/>
      <c r="Y191" s="54"/>
      <c r="Z191" s="54"/>
    </row>
    <row r="192" ht="15.75" customHeight="1">
      <c r="A192" s="54"/>
      <c r="B192" s="54"/>
      <c r="C192" s="54"/>
      <c r="D192" s="54"/>
      <c r="E192" s="54"/>
      <c r="F192" s="54"/>
      <c r="G192" s="54"/>
      <c r="H192" s="54"/>
      <c r="I192" s="54"/>
      <c r="J192" s="54"/>
      <c r="K192" s="54"/>
      <c r="L192" s="54"/>
      <c r="M192" s="54"/>
      <c r="N192" s="54"/>
      <c r="O192" s="54"/>
      <c r="P192" s="54"/>
      <c r="Q192" s="51"/>
      <c r="R192" s="54"/>
      <c r="S192" s="54"/>
      <c r="T192" s="54"/>
      <c r="U192" s="54"/>
      <c r="V192" s="54"/>
      <c r="W192" s="54"/>
      <c r="X192" s="54"/>
      <c r="Y192" s="54"/>
      <c r="Z192" s="54"/>
    </row>
    <row r="193" ht="15.75" customHeight="1">
      <c r="A193" s="54"/>
      <c r="B193" s="54"/>
      <c r="C193" s="54"/>
      <c r="D193" s="54"/>
      <c r="E193" s="54"/>
      <c r="F193" s="54"/>
      <c r="G193" s="54"/>
      <c r="H193" s="54"/>
      <c r="I193" s="54"/>
      <c r="J193" s="54"/>
      <c r="K193" s="54"/>
      <c r="L193" s="54"/>
      <c r="M193" s="54"/>
      <c r="N193" s="54"/>
      <c r="O193" s="54"/>
      <c r="P193" s="54"/>
      <c r="Q193" s="51"/>
      <c r="R193" s="54"/>
      <c r="S193" s="54"/>
      <c r="T193" s="54"/>
      <c r="U193" s="54"/>
      <c r="V193" s="54"/>
      <c r="W193" s="54"/>
      <c r="X193" s="54"/>
      <c r="Y193" s="54"/>
      <c r="Z193" s="54"/>
    </row>
    <row r="194" ht="15.75" customHeight="1">
      <c r="A194" s="54"/>
      <c r="B194" s="54"/>
      <c r="C194" s="54"/>
      <c r="D194" s="54"/>
      <c r="E194" s="54"/>
      <c r="F194" s="54"/>
      <c r="G194" s="54"/>
      <c r="H194" s="54"/>
      <c r="I194" s="54"/>
      <c r="J194" s="54"/>
      <c r="K194" s="54"/>
      <c r="L194" s="54"/>
      <c r="M194" s="54"/>
      <c r="N194" s="54"/>
      <c r="O194" s="54"/>
      <c r="P194" s="54"/>
      <c r="Q194" s="51"/>
      <c r="R194" s="54"/>
      <c r="S194" s="54"/>
      <c r="T194" s="54"/>
      <c r="U194" s="54"/>
      <c r="V194" s="54"/>
      <c r="W194" s="54"/>
      <c r="X194" s="54"/>
      <c r="Y194" s="54"/>
      <c r="Z194" s="54"/>
    </row>
    <row r="195" ht="15.75" customHeight="1">
      <c r="A195" s="54"/>
      <c r="B195" s="54"/>
      <c r="C195" s="54"/>
      <c r="D195" s="54"/>
      <c r="E195" s="54"/>
      <c r="F195" s="54"/>
      <c r="G195" s="54"/>
      <c r="H195" s="54"/>
      <c r="I195" s="54"/>
      <c r="J195" s="54"/>
      <c r="K195" s="54"/>
      <c r="L195" s="54"/>
      <c r="M195" s="54"/>
      <c r="N195" s="54"/>
      <c r="O195" s="54"/>
      <c r="P195" s="54"/>
      <c r="Q195" s="51"/>
      <c r="R195" s="54"/>
      <c r="S195" s="54"/>
      <c r="T195" s="54"/>
      <c r="U195" s="54"/>
      <c r="V195" s="54"/>
      <c r="W195" s="54"/>
      <c r="X195" s="54"/>
      <c r="Y195" s="54"/>
      <c r="Z195" s="54"/>
    </row>
    <row r="196" ht="15.75" customHeight="1">
      <c r="A196" s="54"/>
      <c r="B196" s="54"/>
      <c r="C196" s="54"/>
      <c r="D196" s="54"/>
      <c r="E196" s="54"/>
      <c r="F196" s="54"/>
      <c r="G196" s="54"/>
      <c r="H196" s="54"/>
      <c r="I196" s="54"/>
      <c r="J196" s="54"/>
      <c r="K196" s="54"/>
      <c r="L196" s="54"/>
      <c r="M196" s="54"/>
      <c r="N196" s="54"/>
      <c r="O196" s="54"/>
      <c r="P196" s="54"/>
      <c r="Q196" s="51"/>
      <c r="R196" s="54"/>
      <c r="S196" s="54"/>
      <c r="T196" s="54"/>
      <c r="U196" s="54"/>
      <c r="V196" s="54"/>
      <c r="W196" s="54"/>
      <c r="X196" s="54"/>
      <c r="Y196" s="54"/>
      <c r="Z196" s="54"/>
    </row>
    <row r="197" ht="15.75" customHeight="1">
      <c r="A197" s="54"/>
      <c r="B197" s="54"/>
      <c r="C197" s="54"/>
      <c r="D197" s="54"/>
      <c r="E197" s="54"/>
      <c r="F197" s="54"/>
      <c r="G197" s="54"/>
      <c r="H197" s="54"/>
      <c r="I197" s="54"/>
      <c r="J197" s="54"/>
      <c r="K197" s="54"/>
      <c r="L197" s="54"/>
      <c r="M197" s="54"/>
      <c r="N197" s="54"/>
      <c r="O197" s="54"/>
      <c r="P197" s="54"/>
      <c r="Q197" s="51"/>
      <c r="R197" s="54"/>
      <c r="S197" s="54"/>
      <c r="T197" s="54"/>
      <c r="U197" s="54"/>
      <c r="V197" s="54"/>
      <c r="W197" s="54"/>
      <c r="X197" s="54"/>
      <c r="Y197" s="54"/>
      <c r="Z197" s="54"/>
    </row>
    <row r="198" ht="15.75" customHeight="1">
      <c r="A198" s="54"/>
      <c r="B198" s="54"/>
      <c r="C198" s="54"/>
      <c r="D198" s="54"/>
      <c r="E198" s="54"/>
      <c r="F198" s="54"/>
      <c r="G198" s="54"/>
      <c r="H198" s="54"/>
      <c r="I198" s="54"/>
      <c r="J198" s="54"/>
      <c r="K198" s="54"/>
      <c r="L198" s="54"/>
      <c r="M198" s="54"/>
      <c r="N198" s="54"/>
      <c r="O198" s="54"/>
      <c r="P198" s="54"/>
      <c r="Q198" s="51"/>
      <c r="R198" s="54"/>
      <c r="S198" s="54"/>
      <c r="T198" s="54"/>
      <c r="U198" s="54"/>
      <c r="V198" s="54"/>
      <c r="W198" s="54"/>
      <c r="X198" s="54"/>
      <c r="Y198" s="54"/>
      <c r="Z198" s="54"/>
    </row>
    <row r="199" ht="15.75" customHeight="1">
      <c r="A199" s="54"/>
      <c r="B199" s="54"/>
      <c r="C199" s="54"/>
      <c r="D199" s="54"/>
      <c r="E199" s="54"/>
      <c r="F199" s="54"/>
      <c r="G199" s="54"/>
      <c r="H199" s="54"/>
      <c r="I199" s="54"/>
      <c r="J199" s="54"/>
      <c r="K199" s="54"/>
      <c r="L199" s="54"/>
      <c r="M199" s="54"/>
      <c r="N199" s="54"/>
      <c r="O199" s="54"/>
      <c r="P199" s="54"/>
      <c r="Q199" s="51"/>
      <c r="R199" s="54"/>
      <c r="S199" s="54"/>
      <c r="T199" s="54"/>
      <c r="U199" s="54"/>
      <c r="V199" s="54"/>
      <c r="W199" s="54"/>
      <c r="X199" s="54"/>
      <c r="Y199" s="54"/>
      <c r="Z199" s="54"/>
    </row>
    <row r="200" ht="15.75" customHeight="1">
      <c r="A200" s="54"/>
      <c r="B200" s="54"/>
      <c r="C200" s="54"/>
      <c r="D200" s="54"/>
      <c r="E200" s="54"/>
      <c r="F200" s="54"/>
      <c r="G200" s="54"/>
      <c r="H200" s="54"/>
      <c r="I200" s="54"/>
      <c r="J200" s="54"/>
      <c r="K200" s="54"/>
      <c r="L200" s="54"/>
      <c r="M200" s="54"/>
      <c r="N200" s="54"/>
      <c r="O200" s="54"/>
      <c r="P200" s="54"/>
      <c r="Q200" s="51"/>
      <c r="R200" s="54"/>
      <c r="S200" s="54"/>
      <c r="T200" s="54"/>
      <c r="U200" s="54"/>
      <c r="V200" s="54"/>
      <c r="W200" s="54"/>
      <c r="X200" s="54"/>
      <c r="Y200" s="54"/>
      <c r="Z200" s="54"/>
    </row>
    <row r="201" ht="15.75" customHeight="1">
      <c r="A201" s="54"/>
      <c r="B201" s="54"/>
      <c r="C201" s="54"/>
      <c r="D201" s="54"/>
      <c r="E201" s="54"/>
      <c r="F201" s="54"/>
      <c r="G201" s="54"/>
      <c r="H201" s="54"/>
      <c r="I201" s="54"/>
      <c r="J201" s="54"/>
      <c r="K201" s="54"/>
      <c r="L201" s="54"/>
      <c r="M201" s="54"/>
      <c r="N201" s="54"/>
      <c r="O201" s="54"/>
      <c r="P201" s="54"/>
      <c r="Q201" s="51"/>
      <c r="R201" s="54"/>
      <c r="S201" s="54"/>
      <c r="T201" s="54"/>
      <c r="U201" s="54"/>
      <c r="V201" s="54"/>
      <c r="W201" s="54"/>
      <c r="X201" s="54"/>
      <c r="Y201" s="54"/>
      <c r="Z201" s="54"/>
    </row>
    <row r="202" ht="15.75" customHeight="1">
      <c r="A202" s="54"/>
      <c r="B202" s="54"/>
      <c r="C202" s="54"/>
      <c r="D202" s="54"/>
      <c r="E202" s="54"/>
      <c r="F202" s="54"/>
      <c r="G202" s="54"/>
      <c r="H202" s="54"/>
      <c r="I202" s="54"/>
      <c r="J202" s="54"/>
      <c r="K202" s="54"/>
      <c r="L202" s="54"/>
      <c r="M202" s="54"/>
      <c r="N202" s="54"/>
      <c r="O202" s="54"/>
      <c r="P202" s="54"/>
      <c r="Q202" s="51"/>
      <c r="R202" s="54"/>
      <c r="S202" s="54"/>
      <c r="T202" s="54"/>
      <c r="U202" s="54"/>
      <c r="V202" s="54"/>
      <c r="W202" s="54"/>
      <c r="X202" s="54"/>
      <c r="Y202" s="54"/>
      <c r="Z202" s="54"/>
    </row>
    <row r="203" ht="15.75" customHeight="1">
      <c r="A203" s="54"/>
      <c r="B203" s="54"/>
      <c r="C203" s="54"/>
      <c r="D203" s="54"/>
      <c r="E203" s="54"/>
      <c r="F203" s="54"/>
      <c r="G203" s="54"/>
      <c r="H203" s="54"/>
      <c r="I203" s="54"/>
      <c r="J203" s="54"/>
      <c r="K203" s="54"/>
      <c r="L203" s="54"/>
      <c r="M203" s="54"/>
      <c r="N203" s="54"/>
      <c r="O203" s="54"/>
      <c r="P203" s="54"/>
      <c r="Q203" s="51"/>
      <c r="R203" s="54"/>
      <c r="S203" s="54"/>
      <c r="T203" s="54"/>
      <c r="U203" s="54"/>
      <c r="V203" s="54"/>
      <c r="W203" s="54"/>
      <c r="X203" s="54"/>
      <c r="Y203" s="54"/>
      <c r="Z203" s="54"/>
    </row>
    <row r="204" ht="15.75" customHeight="1">
      <c r="A204" s="54"/>
      <c r="B204" s="54"/>
      <c r="C204" s="54"/>
      <c r="D204" s="54"/>
      <c r="E204" s="54"/>
      <c r="F204" s="54"/>
      <c r="G204" s="54"/>
      <c r="H204" s="54"/>
      <c r="I204" s="54"/>
      <c r="J204" s="54"/>
      <c r="K204" s="54"/>
      <c r="L204" s="54"/>
      <c r="M204" s="54"/>
      <c r="N204" s="54"/>
      <c r="O204" s="54"/>
      <c r="P204" s="54"/>
      <c r="Q204" s="51"/>
      <c r="R204" s="54"/>
      <c r="S204" s="54"/>
      <c r="T204" s="54"/>
      <c r="U204" s="54"/>
      <c r="V204" s="54"/>
      <c r="W204" s="54"/>
      <c r="X204" s="54"/>
      <c r="Y204" s="54"/>
      <c r="Z204" s="54"/>
    </row>
    <row r="205" ht="15.75" customHeight="1">
      <c r="A205" s="54"/>
      <c r="B205" s="54"/>
      <c r="C205" s="54"/>
      <c r="D205" s="54"/>
      <c r="E205" s="54"/>
      <c r="F205" s="54"/>
      <c r="G205" s="54"/>
      <c r="H205" s="54"/>
      <c r="I205" s="54"/>
      <c r="J205" s="54"/>
      <c r="K205" s="54"/>
      <c r="L205" s="54"/>
      <c r="M205" s="54"/>
      <c r="N205" s="54"/>
      <c r="O205" s="54"/>
      <c r="P205" s="54"/>
      <c r="Q205" s="51"/>
      <c r="R205" s="54"/>
      <c r="S205" s="54"/>
      <c r="T205" s="54"/>
      <c r="U205" s="54"/>
      <c r="V205" s="54"/>
      <c r="W205" s="54"/>
      <c r="X205" s="54"/>
      <c r="Y205" s="54"/>
      <c r="Z205" s="54"/>
    </row>
    <row r="206" ht="15.75" customHeight="1">
      <c r="A206" s="54"/>
      <c r="B206" s="54"/>
      <c r="C206" s="54"/>
      <c r="D206" s="54"/>
      <c r="E206" s="54"/>
      <c r="F206" s="54"/>
      <c r="G206" s="54"/>
      <c r="H206" s="54"/>
      <c r="I206" s="54"/>
      <c r="J206" s="54"/>
      <c r="K206" s="54"/>
      <c r="L206" s="54"/>
      <c r="M206" s="54"/>
      <c r="N206" s="54"/>
      <c r="O206" s="54"/>
      <c r="P206" s="54"/>
      <c r="Q206" s="51"/>
      <c r="R206" s="54"/>
      <c r="S206" s="54"/>
      <c r="T206" s="54"/>
      <c r="U206" s="54"/>
      <c r="V206" s="54"/>
      <c r="W206" s="54"/>
      <c r="X206" s="54"/>
      <c r="Y206" s="54"/>
      <c r="Z206" s="54"/>
    </row>
    <row r="207" ht="15.75" customHeight="1">
      <c r="A207" s="54"/>
      <c r="B207" s="54"/>
      <c r="C207" s="54"/>
      <c r="D207" s="54"/>
      <c r="E207" s="54"/>
      <c r="F207" s="54"/>
      <c r="G207" s="54"/>
      <c r="H207" s="54"/>
      <c r="I207" s="54"/>
      <c r="J207" s="54"/>
      <c r="K207" s="54"/>
      <c r="L207" s="54"/>
      <c r="M207" s="54"/>
      <c r="N207" s="54"/>
      <c r="O207" s="54"/>
      <c r="P207" s="54"/>
      <c r="Q207" s="51"/>
      <c r="R207" s="54"/>
      <c r="S207" s="54"/>
      <c r="T207" s="54"/>
      <c r="U207" s="54"/>
      <c r="V207" s="54"/>
      <c r="W207" s="54"/>
      <c r="X207" s="54"/>
      <c r="Y207" s="54"/>
      <c r="Z207" s="54"/>
    </row>
    <row r="208" ht="15.75" customHeight="1">
      <c r="A208" s="54"/>
      <c r="B208" s="54"/>
      <c r="C208" s="54"/>
      <c r="D208" s="54"/>
      <c r="E208" s="54"/>
      <c r="F208" s="54"/>
      <c r="G208" s="54"/>
      <c r="H208" s="54"/>
      <c r="I208" s="54"/>
      <c r="J208" s="54"/>
      <c r="K208" s="54"/>
      <c r="L208" s="54"/>
      <c r="M208" s="54"/>
      <c r="N208" s="54"/>
      <c r="O208" s="54"/>
      <c r="P208" s="54"/>
      <c r="Q208" s="51"/>
      <c r="R208" s="54"/>
      <c r="S208" s="54"/>
      <c r="T208" s="54"/>
      <c r="U208" s="54"/>
      <c r="V208" s="54"/>
      <c r="W208" s="54"/>
      <c r="X208" s="54"/>
      <c r="Y208" s="54"/>
      <c r="Z208" s="54"/>
    </row>
    <row r="209" ht="15.75" customHeight="1">
      <c r="A209" s="54"/>
      <c r="B209" s="54"/>
      <c r="C209" s="54"/>
      <c r="D209" s="54"/>
      <c r="E209" s="54"/>
      <c r="F209" s="54"/>
      <c r="G209" s="54"/>
      <c r="H209" s="54"/>
      <c r="I209" s="54"/>
      <c r="J209" s="54"/>
      <c r="K209" s="54"/>
      <c r="L209" s="54"/>
      <c r="M209" s="54"/>
      <c r="N209" s="54"/>
      <c r="O209" s="54"/>
      <c r="P209" s="54"/>
      <c r="Q209" s="51"/>
      <c r="R209" s="54"/>
      <c r="S209" s="54"/>
      <c r="T209" s="54"/>
      <c r="U209" s="54"/>
      <c r="V209" s="54"/>
      <c r="W209" s="54"/>
      <c r="X209" s="54"/>
      <c r="Y209" s="54"/>
      <c r="Z209" s="54"/>
    </row>
    <row r="210" ht="15.75" customHeight="1">
      <c r="A210" s="54"/>
      <c r="B210" s="54"/>
      <c r="C210" s="54"/>
      <c r="D210" s="54"/>
      <c r="E210" s="54"/>
      <c r="F210" s="54"/>
      <c r="G210" s="54"/>
      <c r="H210" s="54"/>
      <c r="I210" s="54"/>
      <c r="J210" s="54"/>
      <c r="K210" s="54"/>
      <c r="L210" s="54"/>
      <c r="M210" s="54"/>
      <c r="N210" s="54"/>
      <c r="O210" s="54"/>
      <c r="P210" s="54"/>
      <c r="Q210" s="110"/>
      <c r="R210" s="111"/>
      <c r="S210" s="112"/>
      <c r="T210" s="113"/>
      <c r="U210" s="113"/>
      <c r="V210" s="54"/>
      <c r="W210" s="54"/>
      <c r="X210" s="54"/>
      <c r="Y210" s="54"/>
      <c r="Z210" s="54"/>
    </row>
    <row r="211" ht="15.75" customHeight="1">
      <c r="A211" s="54"/>
      <c r="B211" s="54"/>
      <c r="C211" s="54"/>
      <c r="D211" s="54"/>
      <c r="E211" s="54"/>
      <c r="F211" s="54"/>
      <c r="G211" s="54"/>
      <c r="H211" s="54"/>
      <c r="I211" s="54"/>
      <c r="J211" s="54"/>
      <c r="K211" s="54"/>
      <c r="L211" s="54"/>
      <c r="M211" s="54"/>
      <c r="N211" s="54"/>
      <c r="O211" s="54"/>
      <c r="P211" s="54"/>
      <c r="Q211" s="110"/>
      <c r="R211" s="111"/>
      <c r="S211" s="112"/>
      <c r="T211" s="113"/>
      <c r="U211" s="113"/>
      <c r="V211" s="54"/>
      <c r="W211" s="54"/>
      <c r="X211" s="54"/>
      <c r="Y211" s="54"/>
      <c r="Z211" s="54"/>
    </row>
    <row r="212" ht="15.75" customHeight="1">
      <c r="A212" s="54"/>
      <c r="B212" s="54"/>
      <c r="C212" s="54"/>
      <c r="D212" s="54"/>
      <c r="E212" s="54"/>
      <c r="F212" s="54"/>
      <c r="G212" s="54"/>
      <c r="H212" s="54"/>
      <c r="I212" s="54"/>
      <c r="J212" s="54"/>
      <c r="K212" s="54"/>
      <c r="L212" s="54"/>
      <c r="M212" s="54"/>
      <c r="N212" s="54"/>
      <c r="O212" s="54"/>
      <c r="P212" s="54"/>
      <c r="Q212" s="110"/>
      <c r="R212" s="111"/>
      <c r="S212" s="112"/>
      <c r="T212" s="113"/>
      <c r="U212" s="113"/>
      <c r="V212" s="54"/>
      <c r="W212" s="54"/>
      <c r="X212" s="54"/>
      <c r="Y212" s="54"/>
      <c r="Z212" s="54"/>
    </row>
    <row r="213" ht="15.75" customHeight="1">
      <c r="A213" s="54"/>
      <c r="B213" s="54"/>
      <c r="C213" s="54"/>
      <c r="D213" s="54"/>
      <c r="E213" s="54"/>
      <c r="F213" s="54"/>
      <c r="G213" s="54"/>
      <c r="H213" s="54"/>
      <c r="I213" s="54"/>
      <c r="J213" s="54"/>
      <c r="K213" s="54"/>
      <c r="L213" s="54"/>
      <c r="M213" s="54"/>
      <c r="N213" s="54"/>
      <c r="O213" s="54"/>
      <c r="P213" s="54"/>
      <c r="Q213" s="110"/>
      <c r="R213" s="111"/>
      <c r="S213" s="112"/>
      <c r="T213" s="113"/>
      <c r="U213" s="113"/>
      <c r="V213" s="54"/>
      <c r="W213" s="54"/>
      <c r="X213" s="54"/>
      <c r="Y213" s="54"/>
      <c r="Z213" s="54"/>
    </row>
    <row r="214" ht="15.75" customHeight="1">
      <c r="A214" s="54"/>
      <c r="B214" s="54"/>
      <c r="C214" s="54"/>
      <c r="D214" s="54"/>
      <c r="E214" s="54"/>
      <c r="F214" s="54"/>
      <c r="G214" s="54"/>
      <c r="H214" s="54"/>
      <c r="I214" s="54"/>
      <c r="J214" s="54"/>
      <c r="K214" s="54"/>
      <c r="L214" s="54"/>
      <c r="M214" s="54"/>
      <c r="N214" s="54"/>
      <c r="O214" s="54"/>
      <c r="P214" s="54"/>
      <c r="Q214" s="110"/>
      <c r="R214" s="111"/>
      <c r="S214" s="112"/>
      <c r="T214" s="113"/>
      <c r="U214" s="113"/>
      <c r="V214" s="54"/>
      <c r="W214" s="54"/>
      <c r="X214" s="54"/>
      <c r="Y214" s="54"/>
      <c r="Z214" s="54"/>
    </row>
    <row r="215" ht="15.75" customHeight="1">
      <c r="A215" s="54"/>
      <c r="B215" s="54"/>
      <c r="C215" s="54"/>
      <c r="D215" s="54"/>
      <c r="E215" s="54"/>
      <c r="F215" s="54"/>
      <c r="G215" s="54"/>
      <c r="H215" s="54"/>
      <c r="I215" s="54"/>
      <c r="J215" s="54"/>
      <c r="K215" s="54"/>
      <c r="L215" s="54"/>
      <c r="M215" s="54"/>
      <c r="N215" s="54"/>
      <c r="O215" s="54"/>
      <c r="P215" s="54"/>
      <c r="Q215" s="110"/>
      <c r="R215" s="111"/>
      <c r="S215" s="112"/>
      <c r="T215" s="113"/>
      <c r="U215" s="113"/>
      <c r="V215" s="54"/>
      <c r="W215" s="54"/>
      <c r="X215" s="54"/>
      <c r="Y215" s="54"/>
      <c r="Z215" s="54"/>
    </row>
    <row r="216" ht="15.75" customHeight="1">
      <c r="A216" s="54"/>
      <c r="B216" s="54"/>
      <c r="C216" s="54"/>
      <c r="D216" s="54"/>
      <c r="E216" s="54"/>
      <c r="F216" s="54"/>
      <c r="G216" s="54"/>
      <c r="H216" s="54"/>
      <c r="I216" s="54"/>
      <c r="J216" s="54"/>
      <c r="K216" s="54"/>
      <c r="L216" s="54"/>
      <c r="M216" s="54"/>
      <c r="N216" s="54"/>
      <c r="O216" s="54"/>
      <c r="P216" s="54"/>
      <c r="Q216" s="110"/>
      <c r="R216" s="111"/>
      <c r="S216" s="112"/>
      <c r="T216" s="113"/>
      <c r="U216" s="113"/>
      <c r="V216" s="54"/>
      <c r="W216" s="54"/>
      <c r="X216" s="54"/>
      <c r="Y216" s="54"/>
      <c r="Z216" s="54"/>
    </row>
    <row r="217" ht="15.75" customHeight="1">
      <c r="A217" s="54"/>
      <c r="B217" s="54"/>
      <c r="C217" s="54"/>
      <c r="D217" s="54"/>
      <c r="E217" s="54"/>
      <c r="F217" s="54"/>
      <c r="G217" s="54"/>
      <c r="H217" s="54"/>
      <c r="I217" s="54"/>
      <c r="J217" s="54"/>
      <c r="K217" s="54"/>
      <c r="L217" s="54"/>
      <c r="M217" s="54"/>
      <c r="N217" s="54"/>
      <c r="O217" s="54"/>
      <c r="P217" s="54"/>
      <c r="Q217" s="51"/>
      <c r="R217" s="54"/>
      <c r="S217" s="54"/>
      <c r="T217" s="54"/>
      <c r="U217" s="54"/>
      <c r="V217" s="54"/>
      <c r="W217" s="54"/>
      <c r="X217" s="54"/>
      <c r="Y217" s="54"/>
      <c r="Z217" s="54"/>
    </row>
    <row r="218" ht="15.75" customHeight="1">
      <c r="A218" s="54"/>
      <c r="B218" s="54"/>
      <c r="C218" s="54"/>
      <c r="D218" s="54"/>
      <c r="E218" s="54"/>
      <c r="F218" s="54"/>
      <c r="G218" s="54"/>
      <c r="H218" s="54"/>
      <c r="I218" s="54"/>
      <c r="J218" s="54"/>
      <c r="K218" s="54"/>
      <c r="L218" s="54"/>
      <c r="M218" s="54"/>
      <c r="N218" s="54"/>
      <c r="O218" s="54"/>
      <c r="P218" s="54"/>
      <c r="Q218" s="51"/>
      <c r="R218" s="54"/>
      <c r="S218" s="54"/>
      <c r="T218" s="54"/>
      <c r="U218" s="54"/>
      <c r="V218" s="54"/>
      <c r="W218" s="54"/>
      <c r="X218" s="54"/>
      <c r="Y218" s="54"/>
      <c r="Z218" s="54"/>
    </row>
    <row r="219" ht="15.75" customHeight="1">
      <c r="A219" s="54"/>
      <c r="B219" s="54"/>
      <c r="C219" s="54"/>
      <c r="D219" s="54"/>
      <c r="E219" s="54"/>
      <c r="F219" s="54"/>
      <c r="G219" s="54"/>
      <c r="H219" s="54"/>
      <c r="I219" s="54"/>
      <c r="J219" s="54"/>
      <c r="K219" s="54"/>
      <c r="L219" s="54"/>
      <c r="M219" s="54"/>
      <c r="N219" s="54"/>
      <c r="O219" s="54"/>
      <c r="P219" s="54"/>
      <c r="Q219" s="51"/>
      <c r="R219" s="54"/>
      <c r="S219" s="54"/>
      <c r="T219" s="54"/>
      <c r="U219" s="54"/>
      <c r="V219" s="54"/>
      <c r="W219" s="54"/>
      <c r="X219" s="54"/>
      <c r="Y219" s="54"/>
      <c r="Z219" s="54"/>
    </row>
    <row r="220" ht="15.75" customHeight="1">
      <c r="A220" s="54"/>
      <c r="B220" s="54"/>
      <c r="C220" s="54"/>
      <c r="D220" s="54"/>
      <c r="E220" s="54"/>
      <c r="F220" s="54"/>
      <c r="G220" s="54"/>
      <c r="H220" s="54"/>
      <c r="I220" s="54"/>
      <c r="J220" s="54"/>
      <c r="K220" s="54"/>
      <c r="L220" s="54"/>
      <c r="M220" s="54"/>
      <c r="N220" s="54"/>
      <c r="O220" s="54"/>
      <c r="P220" s="54"/>
      <c r="Q220" s="51"/>
      <c r="R220" s="54"/>
      <c r="S220" s="54"/>
      <c r="T220" s="54"/>
      <c r="U220" s="54"/>
      <c r="V220" s="54"/>
      <c r="W220" s="54"/>
      <c r="X220" s="54"/>
      <c r="Y220" s="54"/>
      <c r="Z220" s="54"/>
    </row>
    <row r="221" ht="15.75" customHeight="1">
      <c r="A221" s="54"/>
      <c r="B221" s="54"/>
      <c r="C221" s="54"/>
      <c r="D221" s="54"/>
      <c r="E221" s="54"/>
      <c r="F221" s="54"/>
      <c r="G221" s="54"/>
      <c r="H221" s="54"/>
      <c r="I221" s="54"/>
      <c r="J221" s="54"/>
      <c r="K221" s="54"/>
      <c r="L221" s="54"/>
      <c r="M221" s="54"/>
      <c r="N221" s="54"/>
      <c r="O221" s="54"/>
      <c r="P221" s="54"/>
      <c r="Q221" s="51"/>
      <c r="R221" s="54"/>
      <c r="S221" s="54"/>
      <c r="T221" s="54"/>
      <c r="U221" s="54"/>
      <c r="V221" s="54"/>
      <c r="W221" s="54"/>
      <c r="X221" s="54"/>
      <c r="Y221" s="54"/>
      <c r="Z221" s="54"/>
    </row>
    <row r="222" ht="15.75" customHeight="1">
      <c r="A222" s="54"/>
      <c r="B222" s="54"/>
      <c r="C222" s="54"/>
      <c r="D222" s="54"/>
      <c r="E222" s="54"/>
      <c r="F222" s="54"/>
      <c r="G222" s="54"/>
      <c r="H222" s="54"/>
      <c r="I222" s="54"/>
      <c r="J222" s="54"/>
      <c r="K222" s="54"/>
      <c r="L222" s="54"/>
      <c r="M222" s="54"/>
      <c r="N222" s="54"/>
      <c r="O222" s="54"/>
      <c r="P222" s="54"/>
      <c r="Q222" s="51"/>
      <c r="R222" s="54"/>
      <c r="S222" s="54"/>
      <c r="T222" s="54"/>
      <c r="U222" s="54"/>
      <c r="V222" s="54"/>
      <c r="W222" s="54"/>
      <c r="X222" s="54"/>
      <c r="Y222" s="54"/>
      <c r="Z222" s="54"/>
    </row>
    <row r="223" ht="15.75" customHeight="1">
      <c r="A223" s="54"/>
      <c r="B223" s="54"/>
      <c r="C223" s="54"/>
      <c r="D223" s="54"/>
      <c r="E223" s="54"/>
      <c r="F223" s="54"/>
      <c r="G223" s="54"/>
      <c r="H223" s="54"/>
      <c r="I223" s="54"/>
      <c r="J223" s="54"/>
      <c r="K223" s="54"/>
      <c r="L223" s="54"/>
      <c r="M223" s="54"/>
      <c r="N223" s="54"/>
      <c r="O223" s="54"/>
      <c r="P223" s="54"/>
      <c r="Q223" s="51"/>
      <c r="R223" s="54"/>
      <c r="S223" s="54"/>
      <c r="T223" s="54"/>
      <c r="U223" s="54"/>
      <c r="V223" s="54"/>
      <c r="W223" s="54"/>
      <c r="X223" s="54"/>
      <c r="Y223" s="54"/>
      <c r="Z223" s="54"/>
    </row>
    <row r="224" ht="15.75" customHeight="1">
      <c r="A224" s="54"/>
      <c r="B224" s="54"/>
      <c r="C224" s="54"/>
      <c r="D224" s="54"/>
      <c r="E224" s="54"/>
      <c r="F224" s="54"/>
      <c r="G224" s="54"/>
      <c r="H224" s="54"/>
      <c r="I224" s="54"/>
      <c r="J224" s="54"/>
      <c r="K224" s="54"/>
      <c r="L224" s="54"/>
      <c r="M224" s="54"/>
      <c r="N224" s="54"/>
      <c r="O224" s="54"/>
      <c r="P224" s="54"/>
      <c r="Q224" s="51"/>
      <c r="R224" s="54"/>
      <c r="S224" s="54"/>
      <c r="T224" s="54"/>
      <c r="U224" s="54"/>
      <c r="V224" s="54"/>
      <c r="W224" s="54"/>
      <c r="X224" s="54"/>
      <c r="Y224" s="54"/>
      <c r="Z224" s="54"/>
    </row>
    <row r="225" ht="15.75" customHeight="1">
      <c r="A225" s="54"/>
      <c r="B225" s="54"/>
      <c r="C225" s="54"/>
      <c r="D225" s="54"/>
      <c r="E225" s="54"/>
      <c r="F225" s="54"/>
      <c r="G225" s="54"/>
      <c r="H225" s="54"/>
      <c r="I225" s="54"/>
      <c r="J225" s="54"/>
      <c r="K225" s="54"/>
      <c r="L225" s="54"/>
      <c r="M225" s="54"/>
      <c r="N225" s="54"/>
      <c r="O225" s="54"/>
      <c r="P225" s="54"/>
      <c r="Q225" s="51"/>
      <c r="R225" s="54"/>
      <c r="S225" s="54"/>
      <c r="T225" s="54"/>
      <c r="U225" s="54"/>
      <c r="V225" s="54"/>
      <c r="W225" s="54"/>
      <c r="X225" s="54"/>
      <c r="Y225" s="54"/>
      <c r="Z225" s="54"/>
    </row>
    <row r="226" ht="15.75" customHeight="1">
      <c r="A226" s="54"/>
      <c r="B226" s="54"/>
      <c r="C226" s="54"/>
      <c r="D226" s="54"/>
      <c r="E226" s="54"/>
      <c r="F226" s="54"/>
      <c r="G226" s="54"/>
      <c r="H226" s="54"/>
      <c r="I226" s="54"/>
      <c r="J226" s="54"/>
      <c r="K226" s="54"/>
      <c r="L226" s="54"/>
      <c r="M226" s="54"/>
      <c r="N226" s="54"/>
      <c r="O226" s="54"/>
      <c r="P226" s="54"/>
      <c r="Q226" s="51"/>
      <c r="R226" s="54"/>
      <c r="S226" s="54"/>
      <c r="T226" s="54"/>
      <c r="U226" s="54"/>
      <c r="V226" s="54"/>
      <c r="W226" s="54"/>
      <c r="X226" s="54"/>
      <c r="Y226" s="54"/>
      <c r="Z226" s="54"/>
    </row>
    <row r="227" ht="15.75" customHeight="1">
      <c r="A227" s="54"/>
      <c r="B227" s="54"/>
      <c r="C227" s="54"/>
      <c r="D227" s="54"/>
      <c r="E227" s="54"/>
      <c r="F227" s="54"/>
      <c r="G227" s="54"/>
      <c r="H227" s="54"/>
      <c r="I227" s="54"/>
      <c r="J227" s="54"/>
      <c r="K227" s="54"/>
      <c r="L227" s="54"/>
      <c r="M227" s="54"/>
      <c r="N227" s="54"/>
      <c r="O227" s="54"/>
      <c r="P227" s="54"/>
      <c r="Q227" s="51"/>
      <c r="R227" s="54"/>
      <c r="S227" s="54"/>
      <c r="T227" s="54"/>
      <c r="U227" s="54"/>
      <c r="V227" s="54"/>
      <c r="W227" s="54"/>
      <c r="X227" s="54"/>
      <c r="Y227" s="54"/>
      <c r="Z227" s="54"/>
    </row>
    <row r="228" ht="15.75" customHeight="1">
      <c r="A228" s="54"/>
      <c r="B228" s="54"/>
      <c r="C228" s="54"/>
      <c r="D228" s="54"/>
      <c r="E228" s="54"/>
      <c r="F228" s="54"/>
      <c r="G228" s="54"/>
      <c r="H228" s="54"/>
      <c r="I228" s="54"/>
      <c r="J228" s="54"/>
      <c r="K228" s="54"/>
      <c r="L228" s="54"/>
      <c r="M228" s="54"/>
      <c r="N228" s="54"/>
      <c r="O228" s="54"/>
      <c r="P228" s="54"/>
      <c r="Q228" s="51"/>
      <c r="R228" s="54"/>
      <c r="S228" s="54"/>
      <c r="T228" s="54"/>
      <c r="U228" s="54"/>
      <c r="V228" s="54"/>
      <c r="W228" s="54"/>
      <c r="X228" s="54"/>
      <c r="Y228" s="54"/>
      <c r="Z228" s="54"/>
    </row>
    <row r="229" ht="15.75" customHeight="1">
      <c r="A229" s="54"/>
      <c r="B229" s="54"/>
      <c r="C229" s="54"/>
      <c r="D229" s="54"/>
      <c r="E229" s="54"/>
      <c r="F229" s="54"/>
      <c r="G229" s="54"/>
      <c r="H229" s="54"/>
      <c r="I229" s="54"/>
      <c r="J229" s="54"/>
      <c r="K229" s="54"/>
      <c r="L229" s="54"/>
      <c r="M229" s="54"/>
      <c r="N229" s="54"/>
      <c r="O229" s="54"/>
      <c r="P229" s="54"/>
      <c r="Q229" s="51"/>
      <c r="R229" s="54"/>
      <c r="S229" s="54"/>
      <c r="T229" s="54"/>
      <c r="U229" s="54"/>
      <c r="V229" s="54"/>
      <c r="W229" s="54"/>
      <c r="X229" s="54"/>
      <c r="Y229" s="54"/>
      <c r="Z229" s="54"/>
    </row>
    <row r="230" ht="15.75" customHeight="1">
      <c r="A230" s="54"/>
      <c r="B230" s="54"/>
      <c r="C230" s="54"/>
      <c r="D230" s="54"/>
      <c r="E230" s="54"/>
      <c r="F230" s="54"/>
      <c r="G230" s="54"/>
      <c r="H230" s="54"/>
      <c r="I230" s="54"/>
      <c r="J230" s="54"/>
      <c r="K230" s="54"/>
      <c r="L230" s="54"/>
      <c r="M230" s="54"/>
      <c r="N230" s="54"/>
      <c r="O230" s="54"/>
      <c r="P230" s="54"/>
      <c r="Q230" s="51"/>
      <c r="R230" s="54"/>
      <c r="S230" s="54"/>
      <c r="T230" s="54"/>
      <c r="U230" s="54"/>
      <c r="V230" s="54"/>
      <c r="W230" s="54"/>
      <c r="X230" s="54"/>
      <c r="Y230" s="54"/>
      <c r="Z230" s="54"/>
    </row>
    <row r="231" ht="15.75" customHeight="1">
      <c r="A231" s="54"/>
      <c r="B231" s="54"/>
      <c r="C231" s="54"/>
      <c r="D231" s="54"/>
      <c r="E231" s="54"/>
      <c r="F231" s="54"/>
      <c r="G231" s="54"/>
      <c r="H231" s="54"/>
      <c r="I231" s="54"/>
      <c r="J231" s="54"/>
      <c r="K231" s="54"/>
      <c r="L231" s="54"/>
      <c r="M231" s="54"/>
      <c r="N231" s="54"/>
      <c r="O231" s="54"/>
      <c r="P231" s="54"/>
      <c r="Q231" s="51"/>
      <c r="R231" s="54"/>
      <c r="S231" s="54"/>
      <c r="T231" s="54"/>
      <c r="U231" s="54"/>
      <c r="V231" s="54"/>
      <c r="W231" s="54"/>
      <c r="X231" s="54"/>
      <c r="Y231" s="54"/>
      <c r="Z231" s="54"/>
    </row>
    <row r="232" ht="15.75" customHeight="1">
      <c r="A232" s="54"/>
      <c r="B232" s="54"/>
      <c r="C232" s="54"/>
      <c r="D232" s="54"/>
      <c r="E232" s="54"/>
      <c r="F232" s="54"/>
      <c r="G232" s="54"/>
      <c r="H232" s="54"/>
      <c r="I232" s="54"/>
      <c r="J232" s="54"/>
      <c r="K232" s="54"/>
      <c r="L232" s="54"/>
      <c r="M232" s="54"/>
      <c r="N232" s="54"/>
      <c r="O232" s="54"/>
      <c r="P232" s="54"/>
      <c r="Q232" s="51"/>
      <c r="R232" s="54"/>
      <c r="S232" s="54"/>
      <c r="T232" s="54"/>
      <c r="U232" s="54"/>
      <c r="V232" s="54"/>
      <c r="W232" s="54"/>
      <c r="X232" s="54"/>
      <c r="Y232" s="54"/>
      <c r="Z232" s="54"/>
    </row>
    <row r="233" ht="15.75" customHeight="1">
      <c r="A233" s="54"/>
      <c r="B233" s="54"/>
      <c r="C233" s="54"/>
      <c r="D233" s="54"/>
      <c r="E233" s="54"/>
      <c r="F233" s="54"/>
      <c r="G233" s="54"/>
      <c r="H233" s="54"/>
      <c r="I233" s="54"/>
      <c r="J233" s="54"/>
      <c r="K233" s="54"/>
      <c r="L233" s="54"/>
      <c r="M233" s="54"/>
      <c r="N233" s="54"/>
      <c r="O233" s="54"/>
      <c r="P233" s="54"/>
      <c r="Q233" s="51"/>
      <c r="R233" s="54"/>
      <c r="S233" s="54"/>
      <c r="T233" s="54"/>
      <c r="U233" s="54"/>
      <c r="V233" s="54"/>
      <c r="W233" s="54"/>
      <c r="X233" s="54"/>
      <c r="Y233" s="54"/>
      <c r="Z233" s="54"/>
    </row>
    <row r="234" ht="15.75" customHeight="1">
      <c r="A234" s="54"/>
      <c r="B234" s="54"/>
      <c r="C234" s="54"/>
      <c r="D234" s="54"/>
      <c r="E234" s="54"/>
      <c r="F234" s="54"/>
      <c r="G234" s="54"/>
      <c r="H234" s="54"/>
      <c r="I234" s="54"/>
      <c r="J234" s="54"/>
      <c r="K234" s="54"/>
      <c r="L234" s="54"/>
      <c r="M234" s="54"/>
      <c r="N234" s="54"/>
      <c r="O234" s="54"/>
      <c r="P234" s="54"/>
      <c r="Q234" s="51"/>
      <c r="R234" s="54"/>
      <c r="S234" s="54"/>
      <c r="T234" s="54"/>
      <c r="U234" s="54"/>
      <c r="V234" s="54"/>
      <c r="W234" s="54"/>
      <c r="X234" s="54"/>
      <c r="Y234" s="54"/>
      <c r="Z234" s="54"/>
    </row>
    <row r="235" ht="15.75" customHeight="1">
      <c r="F235" s="109"/>
      <c r="M235" s="109"/>
      <c r="N235" s="109"/>
      <c r="O235" s="109"/>
      <c r="Q235" s="114"/>
    </row>
    <row r="236" ht="15.75" customHeight="1">
      <c r="F236" s="109"/>
      <c r="M236" s="109"/>
      <c r="N236" s="109"/>
      <c r="O236" s="109"/>
      <c r="Q236" s="114"/>
    </row>
    <row r="237" ht="15.75" customHeight="1">
      <c r="F237" s="109"/>
      <c r="M237" s="109"/>
      <c r="N237" s="109"/>
      <c r="O237" s="109"/>
      <c r="Q237" s="114"/>
    </row>
    <row r="238" ht="15.75" customHeight="1">
      <c r="F238" s="109"/>
      <c r="M238" s="109"/>
      <c r="N238" s="109"/>
      <c r="O238" s="109"/>
      <c r="Q238" s="114"/>
    </row>
    <row r="239" ht="15.75" customHeight="1">
      <c r="F239" s="109"/>
      <c r="M239" s="109"/>
      <c r="N239" s="109"/>
      <c r="O239" s="109"/>
      <c r="Q239" s="114"/>
    </row>
    <row r="240" ht="15.75" customHeight="1">
      <c r="F240" s="109"/>
      <c r="M240" s="109"/>
      <c r="N240" s="109"/>
      <c r="O240" s="109"/>
      <c r="Q240" s="114"/>
    </row>
    <row r="241" ht="15.75" customHeight="1">
      <c r="F241" s="109"/>
      <c r="M241" s="109"/>
      <c r="N241" s="109"/>
      <c r="O241" s="109"/>
      <c r="Q241" s="114"/>
    </row>
    <row r="242" ht="15.75" customHeight="1">
      <c r="F242" s="109"/>
      <c r="M242" s="109"/>
      <c r="N242" s="109"/>
      <c r="O242" s="109"/>
      <c r="Q242" s="114"/>
    </row>
    <row r="243" ht="15.75" customHeight="1">
      <c r="F243" s="109"/>
      <c r="M243" s="109"/>
      <c r="N243" s="109"/>
      <c r="O243" s="109"/>
      <c r="Q243" s="114"/>
    </row>
    <row r="244" ht="15.75" customHeight="1">
      <c r="F244" s="109"/>
      <c r="M244" s="109"/>
      <c r="N244" s="109"/>
      <c r="O244" s="109"/>
      <c r="Q244" s="114"/>
    </row>
    <row r="245" ht="15.75" customHeight="1">
      <c r="F245" s="109"/>
      <c r="M245" s="109"/>
      <c r="N245" s="109"/>
      <c r="O245" s="109"/>
      <c r="Q245" s="114"/>
    </row>
    <row r="246" ht="15.75" customHeight="1">
      <c r="F246" s="109"/>
      <c r="M246" s="109"/>
      <c r="N246" s="109"/>
      <c r="O246" s="109"/>
      <c r="Q246" s="114"/>
    </row>
    <row r="247" ht="15.75" customHeight="1">
      <c r="F247" s="109"/>
      <c r="M247" s="109"/>
      <c r="N247" s="109"/>
      <c r="O247" s="109"/>
      <c r="Q247" s="114"/>
    </row>
    <row r="248" ht="15.75" customHeight="1">
      <c r="F248" s="109"/>
      <c r="M248" s="109"/>
      <c r="N248" s="109"/>
      <c r="O248" s="109"/>
      <c r="Q248" s="114"/>
    </row>
    <row r="249" ht="15.75" customHeight="1">
      <c r="F249" s="109"/>
      <c r="M249" s="109"/>
      <c r="N249" s="109"/>
      <c r="O249" s="109"/>
      <c r="Q249" s="114"/>
    </row>
    <row r="250" ht="15.75" customHeight="1">
      <c r="F250" s="109"/>
      <c r="M250" s="109"/>
      <c r="N250" s="109"/>
      <c r="O250" s="109"/>
      <c r="Q250" s="114"/>
    </row>
    <row r="251" ht="15.75" customHeight="1">
      <c r="F251" s="109"/>
      <c r="M251" s="109"/>
      <c r="N251" s="109"/>
      <c r="O251" s="109"/>
      <c r="Q251" s="114"/>
    </row>
    <row r="252" ht="15.75" customHeight="1">
      <c r="F252" s="109"/>
      <c r="M252" s="109"/>
      <c r="N252" s="109"/>
      <c r="O252" s="109"/>
      <c r="Q252" s="114"/>
    </row>
    <row r="253" ht="15.75" customHeight="1">
      <c r="F253" s="109"/>
      <c r="M253" s="109"/>
      <c r="N253" s="109"/>
      <c r="O253" s="109"/>
      <c r="Q253" s="114"/>
    </row>
    <row r="254" ht="15.75" customHeight="1">
      <c r="F254" s="109"/>
      <c r="M254" s="109"/>
      <c r="N254" s="109"/>
      <c r="O254" s="109"/>
      <c r="Q254" s="114"/>
    </row>
    <row r="255" ht="15.75" customHeight="1">
      <c r="F255" s="109"/>
      <c r="M255" s="109"/>
      <c r="N255" s="109"/>
      <c r="O255" s="109"/>
      <c r="Q255" s="114"/>
    </row>
    <row r="256" ht="15.75" customHeight="1">
      <c r="F256" s="109"/>
      <c r="M256" s="109"/>
      <c r="N256" s="109"/>
      <c r="O256" s="109"/>
      <c r="Q256" s="114"/>
    </row>
    <row r="257" ht="15.75" customHeight="1">
      <c r="F257" s="109"/>
      <c r="M257" s="109"/>
      <c r="N257" s="109"/>
      <c r="O257" s="109"/>
      <c r="Q257" s="114"/>
    </row>
    <row r="258" ht="15.75" customHeight="1">
      <c r="F258" s="109"/>
      <c r="M258" s="109"/>
      <c r="N258" s="109"/>
      <c r="O258" s="109"/>
      <c r="Q258" s="114"/>
    </row>
    <row r="259" ht="15.75" customHeight="1">
      <c r="F259" s="109"/>
      <c r="M259" s="109"/>
      <c r="N259" s="109"/>
      <c r="O259" s="109"/>
      <c r="Q259" s="114"/>
    </row>
    <row r="260" ht="15.75" customHeight="1">
      <c r="F260" s="109"/>
      <c r="M260" s="109"/>
      <c r="N260" s="109"/>
      <c r="O260" s="109"/>
      <c r="Q260" s="114"/>
    </row>
    <row r="261" ht="15.75" customHeight="1">
      <c r="F261" s="109"/>
      <c r="M261" s="109"/>
      <c r="N261" s="109"/>
      <c r="O261" s="109"/>
      <c r="Q261" s="114"/>
    </row>
    <row r="262" ht="15.75" customHeight="1">
      <c r="F262" s="109"/>
      <c r="M262" s="109"/>
      <c r="N262" s="109"/>
      <c r="O262" s="109"/>
      <c r="Q262" s="114"/>
    </row>
    <row r="263" ht="15.75" customHeight="1">
      <c r="F263" s="109"/>
      <c r="M263" s="109"/>
      <c r="N263" s="109"/>
      <c r="O263" s="109"/>
      <c r="Q263" s="114"/>
    </row>
    <row r="264" ht="15.75" customHeight="1">
      <c r="F264" s="109"/>
      <c r="M264" s="109"/>
      <c r="N264" s="109"/>
      <c r="O264" s="109"/>
      <c r="Q264" s="114"/>
    </row>
    <row r="265" ht="15.75" customHeight="1">
      <c r="F265" s="109"/>
      <c r="M265" s="109"/>
      <c r="N265" s="109"/>
      <c r="O265" s="109"/>
      <c r="Q265" s="114"/>
    </row>
    <row r="266" ht="15.75" customHeight="1">
      <c r="F266" s="109"/>
      <c r="M266" s="109"/>
      <c r="N266" s="109"/>
      <c r="O266" s="109"/>
      <c r="Q266" s="114"/>
    </row>
    <row r="267" ht="15.75" customHeight="1">
      <c r="F267" s="109"/>
      <c r="M267" s="109"/>
      <c r="N267" s="109"/>
      <c r="O267" s="109"/>
      <c r="Q267" s="114"/>
    </row>
    <row r="268" ht="15.75" customHeight="1">
      <c r="F268" s="109"/>
      <c r="M268" s="109"/>
      <c r="N268" s="109"/>
      <c r="O268" s="109"/>
      <c r="Q268" s="114"/>
    </row>
    <row r="269" ht="15.75" customHeight="1">
      <c r="F269" s="109"/>
      <c r="M269" s="109"/>
      <c r="N269" s="109"/>
      <c r="O269" s="109"/>
      <c r="Q269" s="114"/>
    </row>
    <row r="270" ht="15.75" customHeight="1">
      <c r="F270" s="109"/>
      <c r="M270" s="109"/>
      <c r="N270" s="109"/>
      <c r="O270" s="109"/>
      <c r="Q270" s="114"/>
    </row>
    <row r="271" ht="15.75" customHeight="1">
      <c r="F271" s="109"/>
      <c r="M271" s="109"/>
      <c r="N271" s="109"/>
      <c r="O271" s="109"/>
      <c r="Q271" s="114"/>
    </row>
    <row r="272" ht="15.75" customHeight="1">
      <c r="F272" s="109"/>
      <c r="M272" s="109"/>
      <c r="N272" s="109"/>
      <c r="O272" s="109"/>
      <c r="Q272" s="114"/>
    </row>
    <row r="273" ht="15.75" customHeight="1">
      <c r="F273" s="109"/>
      <c r="M273" s="109"/>
      <c r="N273" s="109"/>
      <c r="O273" s="109"/>
      <c r="Q273" s="114"/>
    </row>
    <row r="274" ht="15.75" customHeight="1">
      <c r="F274" s="109"/>
      <c r="M274" s="109"/>
      <c r="N274" s="109"/>
      <c r="O274" s="109"/>
      <c r="Q274" s="114"/>
    </row>
    <row r="275" ht="15.75" customHeight="1">
      <c r="F275" s="109"/>
      <c r="M275" s="109"/>
      <c r="N275" s="109"/>
      <c r="O275" s="109"/>
      <c r="Q275" s="114"/>
    </row>
    <row r="276" ht="15.75" customHeight="1">
      <c r="F276" s="109"/>
      <c r="M276" s="109"/>
      <c r="N276" s="109"/>
      <c r="O276" s="109"/>
      <c r="Q276" s="114"/>
    </row>
    <row r="277" ht="15.75" customHeight="1">
      <c r="F277" s="109"/>
      <c r="M277" s="109"/>
      <c r="N277" s="109"/>
      <c r="O277" s="109"/>
      <c r="Q277" s="114"/>
    </row>
    <row r="278" ht="15.75" customHeight="1">
      <c r="F278" s="109"/>
      <c r="M278" s="109"/>
      <c r="N278" s="109"/>
      <c r="O278" s="109"/>
      <c r="Q278" s="114"/>
    </row>
    <row r="279" ht="15.75" customHeight="1">
      <c r="F279" s="109"/>
      <c r="M279" s="109"/>
      <c r="N279" s="109"/>
      <c r="O279" s="109"/>
      <c r="Q279" s="114"/>
    </row>
    <row r="280" ht="15.75" customHeight="1">
      <c r="F280" s="109"/>
      <c r="M280" s="109"/>
      <c r="N280" s="109"/>
      <c r="O280" s="109"/>
      <c r="Q280" s="114"/>
    </row>
    <row r="281" ht="15.75" customHeight="1">
      <c r="F281" s="109"/>
      <c r="M281" s="109"/>
      <c r="N281" s="109"/>
      <c r="O281" s="109"/>
      <c r="Q281" s="114"/>
    </row>
    <row r="282" ht="15.75" customHeight="1">
      <c r="F282" s="109"/>
      <c r="M282" s="109"/>
      <c r="N282" s="109"/>
      <c r="O282" s="109"/>
      <c r="Q282" s="114"/>
    </row>
    <row r="283" ht="15.75" customHeight="1">
      <c r="F283" s="109"/>
      <c r="M283" s="109"/>
      <c r="N283" s="109"/>
      <c r="O283" s="109"/>
      <c r="Q283" s="114"/>
    </row>
    <row r="284" ht="15.75" customHeight="1">
      <c r="F284" s="109"/>
      <c r="M284" s="109"/>
      <c r="N284" s="109"/>
      <c r="O284" s="109"/>
      <c r="Q284" s="114"/>
    </row>
    <row r="285" ht="15.75" customHeight="1">
      <c r="F285" s="109"/>
      <c r="M285" s="109"/>
      <c r="N285" s="109"/>
      <c r="O285" s="109"/>
      <c r="Q285" s="114"/>
    </row>
    <row r="286" ht="15.75" customHeight="1">
      <c r="F286" s="109"/>
      <c r="M286" s="109"/>
      <c r="N286" s="109"/>
      <c r="O286" s="109"/>
      <c r="Q286" s="114"/>
    </row>
    <row r="287" ht="15.75" customHeight="1">
      <c r="F287" s="109"/>
      <c r="M287" s="109"/>
      <c r="N287" s="109"/>
      <c r="O287" s="109"/>
      <c r="Q287" s="114"/>
    </row>
    <row r="288" ht="15.75" customHeight="1">
      <c r="F288" s="109"/>
      <c r="M288" s="109"/>
      <c r="N288" s="109"/>
      <c r="O288" s="109"/>
      <c r="Q288" s="114"/>
    </row>
    <row r="289" ht="15.75" customHeight="1">
      <c r="F289" s="109"/>
      <c r="M289" s="109"/>
      <c r="N289" s="109"/>
      <c r="O289" s="109"/>
      <c r="Q289" s="114"/>
    </row>
    <row r="290" ht="15.75" customHeight="1">
      <c r="F290" s="109"/>
      <c r="M290" s="109"/>
      <c r="N290" s="109"/>
      <c r="O290" s="109"/>
      <c r="Q290" s="114"/>
    </row>
    <row r="291" ht="15.75" customHeight="1">
      <c r="F291" s="109"/>
      <c r="M291" s="109"/>
      <c r="N291" s="109"/>
      <c r="O291" s="109"/>
      <c r="Q291" s="114"/>
    </row>
    <row r="292" ht="15.75" customHeight="1">
      <c r="F292" s="109"/>
      <c r="M292" s="109"/>
      <c r="N292" s="109"/>
      <c r="O292" s="109"/>
      <c r="Q292" s="114"/>
    </row>
    <row r="293" ht="15.75" customHeight="1">
      <c r="F293" s="109"/>
      <c r="M293" s="109"/>
      <c r="N293" s="109"/>
      <c r="O293" s="109"/>
      <c r="Q293" s="114"/>
    </row>
    <row r="294" ht="15.75" customHeight="1">
      <c r="F294" s="109"/>
      <c r="M294" s="109"/>
      <c r="N294" s="109"/>
      <c r="O294" s="109"/>
      <c r="Q294" s="114"/>
    </row>
    <row r="295" ht="15.75" customHeight="1">
      <c r="F295" s="109"/>
      <c r="M295" s="109"/>
      <c r="N295" s="109"/>
      <c r="O295" s="109"/>
      <c r="Q295" s="114"/>
    </row>
    <row r="296" ht="15.75" customHeight="1">
      <c r="F296" s="109"/>
      <c r="M296" s="109"/>
      <c r="N296" s="109"/>
      <c r="O296" s="109"/>
      <c r="Q296" s="114"/>
    </row>
    <row r="297" ht="15.75" customHeight="1">
      <c r="F297" s="109"/>
      <c r="M297" s="109"/>
      <c r="N297" s="109"/>
      <c r="O297" s="109"/>
      <c r="Q297" s="114"/>
    </row>
    <row r="298" ht="15.75" customHeight="1">
      <c r="F298" s="109"/>
      <c r="M298" s="109"/>
      <c r="N298" s="109"/>
      <c r="O298" s="109"/>
      <c r="Q298" s="114"/>
    </row>
    <row r="299" ht="15.75" customHeight="1">
      <c r="F299" s="109"/>
      <c r="M299" s="109"/>
      <c r="N299" s="109"/>
      <c r="O299" s="109"/>
      <c r="Q299" s="114"/>
    </row>
    <row r="300" ht="15.75" customHeight="1">
      <c r="F300" s="109"/>
      <c r="M300" s="109"/>
      <c r="N300" s="109"/>
      <c r="O300" s="109"/>
      <c r="Q300" s="114"/>
    </row>
    <row r="301" ht="15.75" customHeight="1">
      <c r="F301" s="109"/>
      <c r="M301" s="109"/>
      <c r="N301" s="109"/>
      <c r="O301" s="109"/>
      <c r="Q301" s="114"/>
    </row>
    <row r="302" ht="15.75" customHeight="1">
      <c r="F302" s="109"/>
      <c r="M302" s="109"/>
      <c r="N302" s="109"/>
      <c r="O302" s="109"/>
      <c r="Q302" s="114"/>
    </row>
    <row r="303" ht="15.75" customHeight="1">
      <c r="F303" s="109"/>
      <c r="M303" s="109"/>
      <c r="N303" s="109"/>
      <c r="O303" s="109"/>
      <c r="Q303" s="114"/>
    </row>
    <row r="304" ht="15.75" customHeight="1">
      <c r="F304" s="109"/>
      <c r="M304" s="109"/>
      <c r="N304" s="109"/>
      <c r="O304" s="109"/>
      <c r="Q304" s="114"/>
    </row>
    <row r="305" ht="15.75" customHeight="1">
      <c r="F305" s="109"/>
      <c r="M305" s="109"/>
      <c r="N305" s="109"/>
      <c r="O305" s="109"/>
      <c r="Q305" s="114"/>
    </row>
    <row r="306" ht="15.75" customHeight="1">
      <c r="F306" s="109"/>
      <c r="M306" s="109"/>
      <c r="N306" s="109"/>
      <c r="O306" s="109"/>
      <c r="Q306" s="114"/>
    </row>
    <row r="307" ht="15.75" customHeight="1">
      <c r="F307" s="109"/>
      <c r="M307" s="109"/>
      <c r="N307" s="109"/>
      <c r="O307" s="109"/>
      <c r="Q307" s="114"/>
    </row>
    <row r="308" ht="15.75" customHeight="1">
      <c r="F308" s="109"/>
      <c r="M308" s="109"/>
      <c r="N308" s="109"/>
      <c r="O308" s="109"/>
      <c r="Q308" s="114"/>
    </row>
    <row r="309" ht="15.75" customHeight="1">
      <c r="F309" s="109"/>
      <c r="M309" s="109"/>
      <c r="N309" s="109"/>
      <c r="O309" s="109"/>
      <c r="Q309" s="114"/>
    </row>
    <row r="310" ht="15.75" customHeight="1">
      <c r="F310" s="109"/>
      <c r="M310" s="109"/>
      <c r="N310" s="109"/>
      <c r="O310" s="109"/>
      <c r="Q310" s="114"/>
    </row>
    <row r="311" ht="15.75" customHeight="1">
      <c r="F311" s="109"/>
      <c r="M311" s="109"/>
      <c r="N311" s="109"/>
      <c r="O311" s="109"/>
      <c r="Q311" s="114"/>
    </row>
    <row r="312" ht="15.75" customHeight="1">
      <c r="F312" s="109"/>
      <c r="M312" s="109"/>
      <c r="N312" s="109"/>
      <c r="O312" s="109"/>
      <c r="Q312" s="114"/>
    </row>
    <row r="313" ht="15.75" customHeight="1">
      <c r="F313" s="109"/>
      <c r="M313" s="109"/>
      <c r="N313" s="109"/>
      <c r="O313" s="109"/>
      <c r="Q313" s="114"/>
    </row>
    <row r="314" ht="15.75" customHeight="1">
      <c r="F314" s="109"/>
      <c r="M314" s="109"/>
      <c r="N314" s="109"/>
      <c r="O314" s="109"/>
      <c r="Q314" s="114"/>
    </row>
    <row r="315" ht="15.75" customHeight="1">
      <c r="F315" s="109"/>
      <c r="M315" s="109"/>
      <c r="N315" s="109"/>
      <c r="O315" s="109"/>
      <c r="Q315" s="114"/>
    </row>
    <row r="316" ht="15.75" customHeight="1">
      <c r="F316" s="109"/>
      <c r="M316" s="109"/>
      <c r="N316" s="109"/>
      <c r="O316" s="109"/>
      <c r="Q316" s="114"/>
    </row>
    <row r="317" ht="15.75" customHeight="1">
      <c r="F317" s="109"/>
      <c r="M317" s="109"/>
      <c r="N317" s="109"/>
      <c r="O317" s="109"/>
      <c r="Q317" s="114"/>
    </row>
    <row r="318" ht="15.75" customHeight="1">
      <c r="F318" s="109"/>
      <c r="M318" s="109"/>
      <c r="N318" s="109"/>
      <c r="O318" s="109"/>
      <c r="Q318" s="114"/>
    </row>
    <row r="319" ht="15.75" customHeight="1">
      <c r="F319" s="109"/>
      <c r="M319" s="109"/>
      <c r="N319" s="109"/>
      <c r="O319" s="109"/>
      <c r="Q319" s="114"/>
    </row>
    <row r="320" ht="15.75" customHeight="1">
      <c r="F320" s="109"/>
      <c r="M320" s="109"/>
      <c r="N320" s="109"/>
      <c r="O320" s="109"/>
      <c r="Q320" s="114"/>
    </row>
    <row r="321" ht="15.75" customHeight="1">
      <c r="F321" s="109"/>
      <c r="M321" s="109"/>
      <c r="N321" s="109"/>
      <c r="O321" s="109"/>
      <c r="Q321" s="114"/>
    </row>
    <row r="322" ht="15.75" customHeight="1">
      <c r="F322" s="109"/>
      <c r="M322" s="109"/>
      <c r="N322" s="109"/>
      <c r="O322" s="109"/>
      <c r="Q322" s="114"/>
    </row>
    <row r="323" ht="15.75" customHeight="1">
      <c r="F323" s="109"/>
      <c r="M323" s="109"/>
      <c r="N323" s="109"/>
      <c r="O323" s="109"/>
      <c r="Q323" s="114"/>
    </row>
    <row r="324" ht="15.75" customHeight="1">
      <c r="F324" s="109"/>
      <c r="M324" s="109"/>
      <c r="N324" s="109"/>
      <c r="O324" s="109"/>
      <c r="Q324" s="114"/>
    </row>
    <row r="325" ht="15.75" customHeight="1">
      <c r="F325" s="109"/>
      <c r="M325" s="109"/>
      <c r="N325" s="109"/>
      <c r="O325" s="109"/>
      <c r="Q325" s="114"/>
    </row>
    <row r="326" ht="15.75" customHeight="1">
      <c r="F326" s="109"/>
      <c r="M326" s="109"/>
      <c r="N326" s="109"/>
      <c r="O326" s="109"/>
      <c r="Q326" s="114"/>
    </row>
    <row r="327" ht="15.75" customHeight="1">
      <c r="F327" s="109"/>
      <c r="M327" s="109"/>
      <c r="N327" s="109"/>
      <c r="O327" s="109"/>
      <c r="Q327" s="114"/>
    </row>
    <row r="328" ht="15.75" customHeight="1">
      <c r="F328" s="109"/>
      <c r="M328" s="109"/>
      <c r="N328" s="109"/>
      <c r="O328" s="109"/>
      <c r="Q328" s="114"/>
    </row>
    <row r="329" ht="15.75" customHeight="1">
      <c r="F329" s="109"/>
      <c r="M329" s="109"/>
      <c r="N329" s="109"/>
      <c r="O329" s="109"/>
      <c r="Q329" s="114"/>
    </row>
    <row r="330" ht="15.75" customHeight="1">
      <c r="F330" s="109"/>
      <c r="M330" s="109"/>
      <c r="N330" s="109"/>
      <c r="O330" s="109"/>
      <c r="Q330" s="114"/>
    </row>
    <row r="331" ht="15.75" customHeight="1">
      <c r="F331" s="109"/>
      <c r="M331" s="109"/>
      <c r="N331" s="109"/>
      <c r="O331" s="109"/>
      <c r="Q331" s="114"/>
    </row>
    <row r="332" ht="15.75" customHeight="1">
      <c r="F332" s="109"/>
      <c r="M332" s="109"/>
      <c r="N332" s="109"/>
      <c r="O332" s="109"/>
      <c r="Q332" s="114"/>
    </row>
    <row r="333" ht="15.75" customHeight="1">
      <c r="F333" s="109"/>
      <c r="M333" s="109"/>
      <c r="N333" s="109"/>
      <c r="O333" s="109"/>
      <c r="Q333" s="114"/>
    </row>
    <row r="334" ht="15.75" customHeight="1">
      <c r="F334" s="109"/>
      <c r="M334" s="109"/>
      <c r="N334" s="109"/>
      <c r="O334" s="109"/>
      <c r="Q334" s="114"/>
    </row>
    <row r="335" ht="15.75" customHeight="1">
      <c r="F335" s="109"/>
      <c r="M335" s="109"/>
      <c r="N335" s="109"/>
      <c r="O335" s="109"/>
      <c r="Q335" s="114"/>
    </row>
    <row r="336" ht="15.75" customHeight="1">
      <c r="F336" s="109"/>
      <c r="M336" s="109"/>
      <c r="N336" s="109"/>
      <c r="O336" s="109"/>
      <c r="Q336" s="114"/>
    </row>
    <row r="337" ht="15.75" customHeight="1">
      <c r="F337" s="109"/>
      <c r="M337" s="109"/>
      <c r="N337" s="109"/>
      <c r="O337" s="109"/>
      <c r="Q337" s="114"/>
    </row>
    <row r="338" ht="15.75" customHeight="1">
      <c r="F338" s="109"/>
      <c r="M338" s="109"/>
      <c r="N338" s="109"/>
      <c r="O338" s="109"/>
      <c r="Q338" s="114"/>
    </row>
    <row r="339" ht="15.75" customHeight="1">
      <c r="F339" s="109"/>
      <c r="M339" s="109"/>
      <c r="N339" s="109"/>
      <c r="O339" s="109"/>
      <c r="Q339" s="114"/>
    </row>
    <row r="340" ht="15.75" customHeight="1">
      <c r="F340" s="109"/>
      <c r="M340" s="109"/>
      <c r="N340" s="109"/>
      <c r="O340" s="109"/>
      <c r="Q340" s="114"/>
    </row>
    <row r="341" ht="15.75" customHeight="1">
      <c r="F341" s="109"/>
      <c r="M341" s="109"/>
      <c r="N341" s="109"/>
      <c r="O341" s="109"/>
      <c r="Q341" s="114"/>
    </row>
    <row r="342" ht="15.75" customHeight="1">
      <c r="F342" s="109"/>
      <c r="M342" s="109"/>
      <c r="N342" s="109"/>
      <c r="O342" s="109"/>
      <c r="Q342" s="114"/>
    </row>
    <row r="343" ht="15.75" customHeight="1">
      <c r="F343" s="109"/>
      <c r="M343" s="109"/>
      <c r="N343" s="109"/>
      <c r="O343" s="109"/>
      <c r="Q343" s="114"/>
    </row>
    <row r="344" ht="15.75" customHeight="1">
      <c r="F344" s="109"/>
      <c r="M344" s="109"/>
      <c r="N344" s="109"/>
      <c r="O344" s="109"/>
      <c r="Q344" s="114"/>
    </row>
    <row r="345" ht="15.75" customHeight="1">
      <c r="F345" s="109"/>
      <c r="M345" s="109"/>
      <c r="N345" s="109"/>
      <c r="O345" s="109"/>
      <c r="Q345" s="114"/>
    </row>
    <row r="346" ht="15.75" customHeight="1">
      <c r="F346" s="109"/>
      <c r="M346" s="109"/>
      <c r="N346" s="109"/>
      <c r="O346" s="109"/>
      <c r="Q346" s="114"/>
    </row>
    <row r="347" ht="15.75" customHeight="1">
      <c r="F347" s="109"/>
      <c r="M347" s="109"/>
      <c r="N347" s="109"/>
      <c r="O347" s="109"/>
      <c r="Q347" s="114"/>
    </row>
    <row r="348" ht="15.75" customHeight="1">
      <c r="F348" s="109"/>
      <c r="M348" s="109"/>
      <c r="N348" s="109"/>
      <c r="O348" s="109"/>
      <c r="Q348" s="114"/>
    </row>
    <row r="349" ht="15.75" customHeight="1">
      <c r="F349" s="109"/>
      <c r="M349" s="109"/>
      <c r="N349" s="109"/>
      <c r="O349" s="109"/>
      <c r="Q349" s="114"/>
    </row>
    <row r="350" ht="15.75" customHeight="1">
      <c r="F350" s="109"/>
      <c r="M350" s="109"/>
      <c r="N350" s="109"/>
      <c r="O350" s="109"/>
      <c r="Q350" s="114"/>
    </row>
    <row r="351" ht="15.75" customHeight="1">
      <c r="F351" s="109"/>
      <c r="M351" s="109"/>
      <c r="N351" s="109"/>
      <c r="O351" s="109"/>
      <c r="Q351" s="114"/>
    </row>
    <row r="352" ht="15.75" customHeight="1">
      <c r="F352" s="109"/>
      <c r="M352" s="109"/>
      <c r="N352" s="109"/>
      <c r="O352" s="109"/>
      <c r="Q352" s="114"/>
    </row>
    <row r="353" ht="15.75" customHeight="1">
      <c r="F353" s="109"/>
      <c r="M353" s="109"/>
      <c r="N353" s="109"/>
      <c r="O353" s="109"/>
      <c r="Q353" s="114"/>
    </row>
    <row r="354" ht="15.75" customHeight="1">
      <c r="F354" s="109"/>
      <c r="M354" s="109"/>
      <c r="N354" s="109"/>
      <c r="O354" s="109"/>
      <c r="Q354" s="114"/>
    </row>
    <row r="355" ht="15.75" customHeight="1">
      <c r="F355" s="109"/>
      <c r="M355" s="109"/>
      <c r="N355" s="109"/>
      <c r="O355" s="109"/>
      <c r="Q355" s="114"/>
    </row>
    <row r="356" ht="15.75" customHeight="1">
      <c r="F356" s="109"/>
      <c r="M356" s="109"/>
      <c r="N356" s="109"/>
      <c r="O356" s="109"/>
      <c r="Q356" s="114"/>
    </row>
    <row r="357" ht="15.75" customHeight="1">
      <c r="F357" s="109"/>
      <c r="M357" s="109"/>
      <c r="N357" s="109"/>
      <c r="O357" s="109"/>
      <c r="Q357" s="114"/>
    </row>
    <row r="358" ht="15.75" customHeight="1">
      <c r="F358" s="109"/>
      <c r="M358" s="109"/>
      <c r="N358" s="109"/>
      <c r="O358" s="109"/>
      <c r="Q358" s="114"/>
    </row>
    <row r="359" ht="15.75" customHeight="1">
      <c r="F359" s="109"/>
      <c r="M359" s="109"/>
      <c r="N359" s="109"/>
      <c r="O359" s="109"/>
      <c r="Q359" s="114"/>
    </row>
    <row r="360" ht="15.75" customHeight="1">
      <c r="F360" s="109"/>
      <c r="M360" s="109"/>
      <c r="N360" s="109"/>
      <c r="O360" s="109"/>
      <c r="Q360" s="114"/>
    </row>
    <row r="361" ht="15.75" customHeight="1">
      <c r="F361" s="109"/>
      <c r="M361" s="109"/>
      <c r="N361" s="109"/>
      <c r="O361" s="109"/>
      <c r="Q361" s="114"/>
    </row>
    <row r="362" ht="15.75" customHeight="1">
      <c r="F362" s="109"/>
      <c r="M362" s="109"/>
      <c r="N362" s="109"/>
      <c r="O362" s="109"/>
      <c r="Q362" s="114"/>
    </row>
    <row r="363" ht="15.75" customHeight="1">
      <c r="F363" s="109"/>
      <c r="M363" s="109"/>
      <c r="N363" s="109"/>
      <c r="O363" s="109"/>
      <c r="Q363" s="114"/>
    </row>
    <row r="364" ht="15.75" customHeight="1">
      <c r="F364" s="109"/>
      <c r="M364" s="109"/>
      <c r="N364" s="109"/>
      <c r="O364" s="109"/>
      <c r="Q364" s="114"/>
    </row>
    <row r="365" ht="15.75" customHeight="1">
      <c r="F365" s="109"/>
      <c r="M365" s="109"/>
      <c r="N365" s="109"/>
      <c r="O365" s="109"/>
      <c r="Q365" s="114"/>
    </row>
    <row r="366" ht="15.75" customHeight="1">
      <c r="F366" s="109"/>
      <c r="M366" s="109"/>
      <c r="N366" s="109"/>
      <c r="O366" s="109"/>
      <c r="Q366" s="114"/>
    </row>
    <row r="367" ht="15.75" customHeight="1">
      <c r="F367" s="109"/>
      <c r="M367" s="109"/>
      <c r="N367" s="109"/>
      <c r="O367" s="109"/>
      <c r="Q367" s="114"/>
    </row>
    <row r="368" ht="15.75" customHeight="1">
      <c r="F368" s="109"/>
      <c r="M368" s="109"/>
      <c r="N368" s="109"/>
      <c r="O368" s="109"/>
      <c r="Q368" s="114"/>
    </row>
    <row r="369" ht="15.75" customHeight="1">
      <c r="F369" s="109"/>
      <c r="M369" s="109"/>
      <c r="N369" s="109"/>
      <c r="O369" s="109"/>
      <c r="Q369" s="114"/>
    </row>
    <row r="370" ht="15.75" customHeight="1">
      <c r="F370" s="109"/>
      <c r="M370" s="109"/>
      <c r="N370" s="109"/>
      <c r="O370" s="109"/>
      <c r="Q370" s="114"/>
    </row>
    <row r="371" ht="15.75" customHeight="1">
      <c r="F371" s="109"/>
      <c r="M371" s="109"/>
      <c r="N371" s="109"/>
      <c r="O371" s="109"/>
      <c r="Q371" s="114"/>
    </row>
    <row r="372" ht="15.75" customHeight="1">
      <c r="F372" s="109"/>
      <c r="M372" s="109"/>
      <c r="N372" s="109"/>
      <c r="O372" s="109"/>
      <c r="Q372" s="114"/>
    </row>
    <row r="373" ht="15.75" customHeight="1">
      <c r="F373" s="109"/>
      <c r="M373" s="109"/>
      <c r="N373" s="109"/>
      <c r="O373" s="109"/>
      <c r="Q373" s="114"/>
    </row>
    <row r="374" ht="15.75" customHeight="1">
      <c r="F374" s="109"/>
      <c r="M374" s="109"/>
      <c r="N374" s="109"/>
      <c r="O374" s="109"/>
      <c r="Q374" s="114"/>
    </row>
    <row r="375" ht="15.75" customHeight="1">
      <c r="F375" s="109"/>
      <c r="M375" s="109"/>
      <c r="N375" s="109"/>
      <c r="O375" s="109"/>
      <c r="Q375" s="114"/>
    </row>
    <row r="376" ht="15.75" customHeight="1">
      <c r="F376" s="109"/>
      <c r="M376" s="109"/>
      <c r="N376" s="109"/>
      <c r="O376" s="109"/>
      <c r="Q376" s="114"/>
    </row>
    <row r="377" ht="15.75" customHeight="1">
      <c r="F377" s="109"/>
      <c r="M377" s="109"/>
      <c r="N377" s="109"/>
      <c r="O377" s="109"/>
      <c r="Q377" s="114"/>
    </row>
    <row r="378" ht="15.75" customHeight="1">
      <c r="F378" s="109"/>
      <c r="M378" s="109"/>
      <c r="N378" s="109"/>
      <c r="O378" s="109"/>
      <c r="Q378" s="114"/>
    </row>
    <row r="379" ht="15.75" customHeight="1">
      <c r="F379" s="109"/>
      <c r="M379" s="109"/>
      <c r="N379" s="109"/>
      <c r="O379" s="109"/>
      <c r="Q379" s="114"/>
    </row>
    <row r="380" ht="15.75" customHeight="1">
      <c r="F380" s="109"/>
      <c r="M380" s="109"/>
      <c r="N380" s="109"/>
      <c r="O380" s="109"/>
      <c r="Q380" s="114"/>
    </row>
    <row r="381" ht="15.75" customHeight="1">
      <c r="F381" s="109"/>
      <c r="M381" s="109"/>
      <c r="N381" s="109"/>
      <c r="O381" s="109"/>
      <c r="Q381" s="114"/>
    </row>
    <row r="382" ht="15.75" customHeight="1">
      <c r="F382" s="109"/>
      <c r="M382" s="109"/>
      <c r="N382" s="109"/>
      <c r="O382" s="109"/>
      <c r="Q382" s="114"/>
    </row>
    <row r="383" ht="15.75" customHeight="1">
      <c r="F383" s="109"/>
      <c r="M383" s="109"/>
      <c r="N383" s="109"/>
      <c r="O383" s="109"/>
      <c r="Q383" s="114"/>
    </row>
    <row r="384" ht="15.75" customHeight="1">
      <c r="F384" s="109"/>
      <c r="M384" s="109"/>
      <c r="N384" s="109"/>
      <c r="O384" s="109"/>
      <c r="Q384" s="114"/>
    </row>
    <row r="385" ht="15.75" customHeight="1">
      <c r="F385" s="109"/>
      <c r="M385" s="109"/>
      <c r="N385" s="109"/>
      <c r="O385" s="109"/>
      <c r="Q385" s="114"/>
    </row>
    <row r="386" ht="15.75" customHeight="1">
      <c r="F386" s="109"/>
      <c r="M386" s="109"/>
      <c r="N386" s="109"/>
      <c r="O386" s="109"/>
      <c r="Q386" s="114"/>
    </row>
    <row r="387" ht="15.75" customHeight="1">
      <c r="F387" s="109"/>
      <c r="M387" s="109"/>
      <c r="N387" s="109"/>
      <c r="O387" s="109"/>
      <c r="Q387" s="114"/>
    </row>
    <row r="388" ht="15.75" customHeight="1">
      <c r="F388" s="109"/>
      <c r="M388" s="109"/>
      <c r="N388" s="109"/>
      <c r="O388" s="109"/>
      <c r="Q388" s="114"/>
    </row>
    <row r="389" ht="15.75" customHeight="1">
      <c r="F389" s="109"/>
      <c r="M389" s="109"/>
      <c r="N389" s="109"/>
      <c r="O389" s="109"/>
      <c r="Q389" s="114"/>
    </row>
    <row r="390" ht="15.75" customHeight="1">
      <c r="F390" s="109"/>
      <c r="M390" s="109"/>
      <c r="N390" s="109"/>
      <c r="O390" s="109"/>
      <c r="Q390" s="114"/>
    </row>
    <row r="391" ht="15.75" customHeight="1">
      <c r="F391" s="109"/>
      <c r="M391" s="109"/>
      <c r="N391" s="109"/>
      <c r="O391" s="109"/>
      <c r="Q391" s="114"/>
    </row>
    <row r="392" ht="15.75" customHeight="1">
      <c r="F392" s="109"/>
      <c r="M392" s="109"/>
      <c r="N392" s="109"/>
      <c r="O392" s="109"/>
      <c r="Q392" s="114"/>
    </row>
    <row r="393" ht="15.75" customHeight="1">
      <c r="F393" s="109"/>
      <c r="M393" s="109"/>
      <c r="N393" s="109"/>
      <c r="O393" s="109"/>
      <c r="Q393" s="114"/>
    </row>
    <row r="394" ht="15.75" customHeight="1">
      <c r="F394" s="109"/>
      <c r="M394" s="109"/>
      <c r="N394" s="109"/>
      <c r="O394" s="109"/>
      <c r="Q394" s="114"/>
    </row>
    <row r="395" ht="15.75" customHeight="1">
      <c r="F395" s="109"/>
      <c r="M395" s="109"/>
      <c r="N395" s="109"/>
      <c r="O395" s="109"/>
      <c r="Q395" s="114"/>
    </row>
    <row r="396" ht="15.75" customHeight="1">
      <c r="F396" s="109"/>
      <c r="M396" s="109"/>
      <c r="N396" s="109"/>
      <c r="O396" s="109"/>
      <c r="Q396" s="114"/>
    </row>
    <row r="397" ht="15.75" customHeight="1">
      <c r="F397" s="109"/>
      <c r="M397" s="109"/>
      <c r="N397" s="109"/>
      <c r="O397" s="109"/>
      <c r="Q397" s="114"/>
    </row>
    <row r="398" ht="15.75" customHeight="1">
      <c r="F398" s="109"/>
      <c r="M398" s="109"/>
      <c r="N398" s="109"/>
      <c r="O398" s="109"/>
      <c r="Q398" s="114"/>
    </row>
    <row r="399" ht="15.75" customHeight="1">
      <c r="F399" s="109"/>
      <c r="M399" s="109"/>
      <c r="N399" s="109"/>
      <c r="O399" s="109"/>
      <c r="Q399" s="114"/>
    </row>
    <row r="400" ht="15.75" customHeight="1">
      <c r="F400" s="109"/>
      <c r="M400" s="109"/>
      <c r="N400" s="109"/>
      <c r="O400" s="109"/>
      <c r="Q400" s="114"/>
    </row>
    <row r="401" ht="15.75" customHeight="1">
      <c r="F401" s="109"/>
      <c r="M401" s="109"/>
      <c r="N401" s="109"/>
      <c r="O401" s="109"/>
      <c r="Q401" s="114"/>
    </row>
    <row r="402" ht="15.75" customHeight="1">
      <c r="F402" s="109"/>
      <c r="M402" s="109"/>
      <c r="N402" s="109"/>
      <c r="O402" s="109"/>
      <c r="Q402" s="114"/>
    </row>
    <row r="403" ht="15.75" customHeight="1">
      <c r="F403" s="109"/>
      <c r="M403" s="109"/>
      <c r="N403" s="109"/>
      <c r="O403" s="109"/>
      <c r="Q403" s="114"/>
    </row>
    <row r="404" ht="15.75" customHeight="1">
      <c r="F404" s="109"/>
      <c r="M404" s="109"/>
      <c r="N404" s="109"/>
      <c r="O404" s="109"/>
      <c r="Q404" s="114"/>
    </row>
    <row r="405" ht="15.75" customHeight="1">
      <c r="F405" s="109"/>
      <c r="M405" s="109"/>
      <c r="N405" s="109"/>
      <c r="O405" s="109"/>
      <c r="Q405" s="114"/>
    </row>
    <row r="406" ht="15.75" customHeight="1">
      <c r="F406" s="109"/>
      <c r="M406" s="109"/>
      <c r="N406" s="109"/>
      <c r="O406" s="109"/>
      <c r="Q406" s="114"/>
    </row>
    <row r="407" ht="15.75" customHeight="1">
      <c r="F407" s="109"/>
      <c r="M407" s="109"/>
      <c r="N407" s="109"/>
      <c r="O407" s="109"/>
      <c r="Q407" s="114"/>
    </row>
    <row r="408" ht="15.75" customHeight="1">
      <c r="F408" s="109"/>
      <c r="M408" s="109"/>
      <c r="N408" s="109"/>
      <c r="O408" s="109"/>
      <c r="Q408" s="114"/>
    </row>
    <row r="409" ht="15.75" customHeight="1">
      <c r="F409" s="109"/>
      <c r="M409" s="109"/>
      <c r="N409" s="109"/>
      <c r="O409" s="109"/>
      <c r="Q409" s="114"/>
    </row>
    <row r="410" ht="15.75" customHeight="1">
      <c r="F410" s="109"/>
      <c r="M410" s="109"/>
      <c r="N410" s="109"/>
      <c r="O410" s="109"/>
      <c r="Q410" s="114"/>
    </row>
    <row r="411" ht="15.75" customHeight="1">
      <c r="F411" s="109"/>
      <c r="M411" s="109"/>
      <c r="N411" s="109"/>
      <c r="O411" s="109"/>
      <c r="Q411" s="114"/>
    </row>
    <row r="412" ht="15.75" customHeight="1">
      <c r="F412" s="109"/>
      <c r="M412" s="109"/>
      <c r="N412" s="109"/>
      <c r="O412" s="109"/>
      <c r="Q412" s="114"/>
    </row>
    <row r="413" ht="15.75" customHeight="1">
      <c r="F413" s="109"/>
      <c r="M413" s="109"/>
      <c r="N413" s="109"/>
      <c r="O413" s="109"/>
      <c r="Q413" s="114"/>
    </row>
    <row r="414" ht="15.75" customHeight="1">
      <c r="F414" s="109"/>
      <c r="M414" s="109"/>
      <c r="N414" s="109"/>
      <c r="O414" s="109"/>
      <c r="Q414" s="114"/>
    </row>
    <row r="415" ht="15.75" customHeight="1">
      <c r="F415" s="109"/>
      <c r="M415" s="109"/>
      <c r="N415" s="109"/>
      <c r="O415" s="109"/>
      <c r="Q415" s="114"/>
    </row>
    <row r="416" ht="15.75" customHeight="1">
      <c r="F416" s="109"/>
      <c r="M416" s="109"/>
      <c r="N416" s="109"/>
      <c r="O416" s="109"/>
      <c r="Q416" s="114"/>
    </row>
    <row r="417" ht="15.75" customHeight="1">
      <c r="F417" s="109"/>
      <c r="M417" s="109"/>
      <c r="N417" s="109"/>
      <c r="O417" s="109"/>
      <c r="Q417" s="114"/>
    </row>
    <row r="418" ht="15.75" customHeight="1">
      <c r="F418" s="109"/>
      <c r="M418" s="109"/>
      <c r="N418" s="109"/>
      <c r="O418" s="109"/>
      <c r="Q418" s="114"/>
    </row>
    <row r="419" ht="15.75" customHeight="1">
      <c r="F419" s="109"/>
      <c r="M419" s="109"/>
      <c r="N419" s="109"/>
      <c r="O419" s="109"/>
      <c r="Q419" s="114"/>
    </row>
    <row r="420" ht="15.75" customHeight="1">
      <c r="F420" s="109"/>
      <c r="M420" s="109"/>
      <c r="N420" s="109"/>
      <c r="O420" s="109"/>
      <c r="Q420" s="114"/>
    </row>
    <row r="421" ht="15.75" customHeight="1">
      <c r="F421" s="109"/>
      <c r="M421" s="109"/>
      <c r="N421" s="109"/>
      <c r="O421" s="109"/>
      <c r="Q421" s="114"/>
    </row>
    <row r="422" ht="15.75" customHeight="1">
      <c r="F422" s="109"/>
      <c r="M422" s="109"/>
      <c r="N422" s="109"/>
      <c r="O422" s="109"/>
      <c r="Q422" s="114"/>
    </row>
    <row r="423" ht="15.75" customHeight="1">
      <c r="F423" s="109"/>
      <c r="M423" s="109"/>
      <c r="N423" s="109"/>
      <c r="O423" s="109"/>
      <c r="Q423" s="114"/>
    </row>
    <row r="424" ht="15.75" customHeight="1">
      <c r="F424" s="109"/>
      <c r="M424" s="109"/>
      <c r="N424" s="109"/>
      <c r="O424" s="109"/>
      <c r="Q424" s="114"/>
    </row>
    <row r="425" ht="15.75" customHeight="1">
      <c r="F425" s="109"/>
      <c r="M425" s="109"/>
      <c r="N425" s="109"/>
      <c r="O425" s="109"/>
      <c r="Q425" s="114"/>
    </row>
    <row r="426" ht="15.75" customHeight="1">
      <c r="F426" s="109"/>
      <c r="M426" s="109"/>
      <c r="N426" s="109"/>
      <c r="O426" s="109"/>
      <c r="Q426" s="114"/>
    </row>
    <row r="427" ht="15.75" customHeight="1">
      <c r="F427" s="109"/>
      <c r="M427" s="109"/>
      <c r="N427" s="109"/>
      <c r="O427" s="109"/>
      <c r="Q427" s="114"/>
    </row>
    <row r="428" ht="15.75" customHeight="1">
      <c r="F428" s="109"/>
      <c r="M428" s="109"/>
      <c r="N428" s="109"/>
      <c r="O428" s="109"/>
      <c r="Q428" s="114"/>
    </row>
    <row r="429" ht="15.75" customHeight="1">
      <c r="F429" s="109"/>
      <c r="M429" s="109"/>
      <c r="N429" s="109"/>
      <c r="O429" s="109"/>
      <c r="Q429" s="114"/>
    </row>
    <row r="430" ht="15.75" customHeight="1">
      <c r="F430" s="109"/>
      <c r="M430" s="109"/>
      <c r="N430" s="109"/>
      <c r="O430" s="109"/>
      <c r="Q430" s="114"/>
    </row>
    <row r="431" ht="15.75" customHeight="1">
      <c r="F431" s="109"/>
      <c r="M431" s="109"/>
      <c r="N431" s="109"/>
      <c r="O431" s="109"/>
      <c r="Q431" s="114"/>
    </row>
    <row r="432" ht="15.75" customHeight="1">
      <c r="F432" s="109"/>
      <c r="M432" s="109"/>
      <c r="N432" s="109"/>
      <c r="O432" s="109"/>
      <c r="Q432" s="114"/>
    </row>
    <row r="433" ht="15.75" customHeight="1">
      <c r="F433" s="109"/>
      <c r="M433" s="109"/>
      <c r="N433" s="109"/>
      <c r="O433" s="109"/>
      <c r="Q433" s="114"/>
    </row>
    <row r="434" ht="15.75" customHeight="1">
      <c r="F434" s="109"/>
      <c r="M434" s="109"/>
      <c r="N434" s="109"/>
      <c r="O434" s="109"/>
      <c r="Q434" s="114"/>
    </row>
    <row r="435" ht="15.75" customHeight="1">
      <c r="F435" s="109"/>
      <c r="M435" s="109"/>
      <c r="N435" s="109"/>
      <c r="O435" s="109"/>
      <c r="Q435" s="114"/>
    </row>
    <row r="436" ht="15.75" customHeight="1">
      <c r="F436" s="109"/>
      <c r="M436" s="109"/>
      <c r="N436" s="109"/>
      <c r="O436" s="109"/>
      <c r="Q436" s="114"/>
    </row>
    <row r="437" ht="15.75" customHeight="1">
      <c r="F437" s="109"/>
      <c r="M437" s="109"/>
      <c r="N437" s="109"/>
      <c r="O437" s="109"/>
      <c r="Q437" s="114"/>
    </row>
    <row r="438" ht="15.75" customHeight="1">
      <c r="F438" s="109"/>
      <c r="M438" s="109"/>
      <c r="N438" s="109"/>
      <c r="O438" s="109"/>
      <c r="Q438" s="114"/>
    </row>
    <row r="439" ht="15.75" customHeight="1">
      <c r="F439" s="109"/>
      <c r="M439" s="109"/>
      <c r="N439" s="109"/>
      <c r="O439" s="109"/>
      <c r="Q439" s="114"/>
    </row>
    <row r="440" ht="15.75" customHeight="1">
      <c r="F440" s="109"/>
      <c r="M440" s="109"/>
      <c r="N440" s="109"/>
      <c r="O440" s="109"/>
      <c r="Q440" s="114"/>
    </row>
    <row r="441" ht="15.75" customHeight="1">
      <c r="F441" s="109"/>
      <c r="M441" s="109"/>
      <c r="N441" s="109"/>
      <c r="O441" s="109"/>
      <c r="Q441" s="114"/>
    </row>
    <row r="442" ht="15.75" customHeight="1">
      <c r="F442" s="109"/>
      <c r="M442" s="109"/>
      <c r="N442" s="109"/>
      <c r="O442" s="109"/>
      <c r="Q442" s="114"/>
    </row>
    <row r="443" ht="15.75" customHeight="1">
      <c r="F443" s="109"/>
      <c r="M443" s="109"/>
      <c r="N443" s="109"/>
      <c r="O443" s="109"/>
      <c r="Q443" s="114"/>
    </row>
    <row r="444" ht="15.75" customHeight="1">
      <c r="F444" s="109"/>
      <c r="M444" s="109"/>
      <c r="N444" s="109"/>
      <c r="O444" s="109"/>
      <c r="Q444" s="114"/>
    </row>
    <row r="445" ht="15.75" customHeight="1">
      <c r="F445" s="109"/>
      <c r="M445" s="109"/>
      <c r="N445" s="109"/>
      <c r="O445" s="109"/>
      <c r="Q445" s="114"/>
    </row>
    <row r="446" ht="15.75" customHeight="1">
      <c r="F446" s="109"/>
      <c r="M446" s="109"/>
      <c r="N446" s="109"/>
      <c r="O446" s="109"/>
      <c r="Q446" s="114"/>
    </row>
    <row r="447" ht="15.75" customHeight="1">
      <c r="F447" s="109"/>
      <c r="M447" s="109"/>
      <c r="N447" s="109"/>
      <c r="O447" s="109"/>
      <c r="Q447" s="114"/>
    </row>
    <row r="448" ht="15.75" customHeight="1">
      <c r="F448" s="109"/>
      <c r="M448" s="109"/>
      <c r="N448" s="109"/>
      <c r="O448" s="109"/>
      <c r="Q448" s="114"/>
    </row>
    <row r="449" ht="15.75" customHeight="1">
      <c r="F449" s="109"/>
      <c r="M449" s="109"/>
      <c r="N449" s="109"/>
      <c r="O449" s="109"/>
      <c r="Q449" s="114"/>
    </row>
    <row r="450" ht="15.75" customHeight="1">
      <c r="F450" s="109"/>
      <c r="M450" s="109"/>
      <c r="N450" s="109"/>
      <c r="O450" s="109"/>
      <c r="Q450" s="114"/>
    </row>
    <row r="451" ht="15.75" customHeight="1">
      <c r="F451" s="109"/>
      <c r="M451" s="109"/>
      <c r="N451" s="109"/>
      <c r="O451" s="109"/>
      <c r="Q451" s="114"/>
    </row>
    <row r="452" ht="15.75" customHeight="1">
      <c r="F452" s="109"/>
      <c r="M452" s="109"/>
      <c r="N452" s="109"/>
      <c r="O452" s="109"/>
      <c r="Q452" s="114"/>
    </row>
    <row r="453" ht="15.75" customHeight="1">
      <c r="F453" s="109"/>
      <c r="M453" s="109"/>
      <c r="N453" s="109"/>
      <c r="O453" s="109"/>
      <c r="Q453" s="114"/>
    </row>
    <row r="454" ht="15.75" customHeight="1">
      <c r="F454" s="109"/>
      <c r="M454" s="109"/>
      <c r="N454" s="109"/>
      <c r="O454" s="109"/>
      <c r="Q454" s="114"/>
    </row>
    <row r="455" ht="15.75" customHeight="1">
      <c r="F455" s="109"/>
      <c r="M455" s="109"/>
      <c r="N455" s="109"/>
      <c r="O455" s="109"/>
      <c r="Q455" s="114"/>
    </row>
    <row r="456" ht="15.75" customHeight="1">
      <c r="F456" s="109"/>
      <c r="M456" s="109"/>
      <c r="N456" s="109"/>
      <c r="O456" s="109"/>
      <c r="Q456" s="114"/>
    </row>
    <row r="457" ht="15.75" customHeight="1">
      <c r="F457" s="109"/>
      <c r="M457" s="109"/>
      <c r="N457" s="109"/>
      <c r="O457" s="109"/>
      <c r="Q457" s="114"/>
    </row>
    <row r="458" ht="15.75" customHeight="1">
      <c r="F458" s="109"/>
      <c r="M458" s="109"/>
      <c r="N458" s="109"/>
      <c r="O458" s="109"/>
      <c r="Q458" s="114"/>
    </row>
    <row r="459" ht="15.75" customHeight="1">
      <c r="F459" s="109"/>
      <c r="M459" s="109"/>
      <c r="N459" s="109"/>
      <c r="O459" s="109"/>
      <c r="Q459" s="114"/>
    </row>
    <row r="460" ht="15.75" customHeight="1">
      <c r="F460" s="109"/>
      <c r="M460" s="109"/>
      <c r="N460" s="109"/>
      <c r="O460" s="109"/>
      <c r="Q460" s="114"/>
    </row>
    <row r="461" ht="15.75" customHeight="1">
      <c r="F461" s="109"/>
      <c r="M461" s="109"/>
      <c r="N461" s="109"/>
      <c r="O461" s="109"/>
      <c r="Q461" s="114"/>
    </row>
    <row r="462" ht="15.75" customHeight="1">
      <c r="F462" s="109"/>
      <c r="M462" s="109"/>
      <c r="N462" s="109"/>
      <c r="O462" s="109"/>
      <c r="Q462" s="114"/>
    </row>
    <row r="463" ht="15.75" customHeight="1">
      <c r="F463" s="109"/>
      <c r="M463" s="109"/>
      <c r="N463" s="109"/>
      <c r="O463" s="109"/>
      <c r="Q463" s="114"/>
    </row>
    <row r="464" ht="15.75" customHeight="1">
      <c r="F464" s="109"/>
      <c r="M464" s="109"/>
      <c r="N464" s="109"/>
      <c r="O464" s="109"/>
      <c r="Q464" s="114"/>
    </row>
    <row r="465" ht="15.75" customHeight="1">
      <c r="F465" s="109"/>
      <c r="M465" s="109"/>
      <c r="N465" s="109"/>
      <c r="O465" s="109"/>
      <c r="Q465" s="114"/>
    </row>
    <row r="466" ht="15.75" customHeight="1">
      <c r="F466" s="109"/>
      <c r="M466" s="109"/>
      <c r="N466" s="109"/>
      <c r="O466" s="109"/>
      <c r="Q466" s="114"/>
    </row>
    <row r="467" ht="15.75" customHeight="1">
      <c r="F467" s="109"/>
      <c r="M467" s="109"/>
      <c r="N467" s="109"/>
      <c r="O467" s="109"/>
      <c r="Q467" s="114"/>
    </row>
    <row r="468" ht="15.75" customHeight="1">
      <c r="F468" s="109"/>
      <c r="M468" s="109"/>
      <c r="N468" s="109"/>
      <c r="O468" s="109"/>
      <c r="Q468" s="114"/>
    </row>
    <row r="469" ht="15.75" customHeight="1">
      <c r="F469" s="109"/>
      <c r="M469" s="109"/>
      <c r="N469" s="109"/>
      <c r="O469" s="109"/>
      <c r="Q469" s="114"/>
    </row>
    <row r="470" ht="15.75" customHeight="1">
      <c r="F470" s="109"/>
      <c r="M470" s="109"/>
      <c r="N470" s="109"/>
      <c r="O470" s="109"/>
      <c r="Q470" s="114"/>
    </row>
    <row r="471" ht="15.75" customHeight="1">
      <c r="F471" s="109"/>
      <c r="M471" s="109"/>
      <c r="N471" s="109"/>
      <c r="O471" s="109"/>
      <c r="Q471" s="114"/>
    </row>
    <row r="472" ht="15.75" customHeight="1">
      <c r="F472" s="109"/>
      <c r="M472" s="109"/>
      <c r="N472" s="109"/>
      <c r="O472" s="109"/>
      <c r="Q472" s="114"/>
    </row>
    <row r="473" ht="15.75" customHeight="1">
      <c r="F473" s="109"/>
      <c r="M473" s="109"/>
      <c r="N473" s="109"/>
      <c r="O473" s="109"/>
      <c r="Q473" s="114"/>
    </row>
    <row r="474" ht="15.75" customHeight="1">
      <c r="F474" s="109"/>
      <c r="M474" s="109"/>
      <c r="N474" s="109"/>
      <c r="O474" s="109"/>
      <c r="Q474" s="114"/>
    </row>
    <row r="475" ht="15.75" customHeight="1">
      <c r="F475" s="109"/>
      <c r="M475" s="109"/>
      <c r="N475" s="109"/>
      <c r="O475" s="109"/>
      <c r="Q475" s="114"/>
    </row>
    <row r="476" ht="15.75" customHeight="1">
      <c r="F476" s="109"/>
      <c r="M476" s="109"/>
      <c r="N476" s="109"/>
      <c r="O476" s="109"/>
      <c r="Q476" s="114"/>
    </row>
    <row r="477" ht="15.75" customHeight="1">
      <c r="F477" s="109"/>
      <c r="M477" s="109"/>
      <c r="N477" s="109"/>
      <c r="O477" s="109"/>
      <c r="Q477" s="114"/>
    </row>
    <row r="478" ht="15.75" customHeight="1">
      <c r="F478" s="109"/>
      <c r="M478" s="109"/>
      <c r="N478" s="109"/>
      <c r="O478" s="109"/>
      <c r="Q478" s="114"/>
    </row>
    <row r="479" ht="15.75" customHeight="1">
      <c r="F479" s="109"/>
      <c r="M479" s="109"/>
      <c r="N479" s="109"/>
      <c r="O479" s="109"/>
      <c r="Q479" s="114"/>
    </row>
    <row r="480" ht="15.75" customHeight="1">
      <c r="F480" s="109"/>
      <c r="M480" s="109"/>
      <c r="N480" s="109"/>
      <c r="O480" s="109"/>
      <c r="Q480" s="114"/>
    </row>
    <row r="481" ht="15.75" customHeight="1">
      <c r="F481" s="109"/>
      <c r="M481" s="109"/>
      <c r="N481" s="109"/>
      <c r="O481" s="109"/>
      <c r="Q481" s="114"/>
    </row>
    <row r="482" ht="15.75" customHeight="1">
      <c r="F482" s="109"/>
      <c r="M482" s="109"/>
      <c r="N482" s="109"/>
      <c r="O482" s="109"/>
      <c r="Q482" s="114"/>
    </row>
    <row r="483" ht="15.75" customHeight="1">
      <c r="F483" s="109"/>
      <c r="M483" s="109"/>
      <c r="N483" s="109"/>
      <c r="O483" s="109"/>
      <c r="Q483" s="114"/>
    </row>
    <row r="484" ht="15.75" customHeight="1">
      <c r="F484" s="109"/>
      <c r="M484" s="109"/>
      <c r="N484" s="109"/>
      <c r="O484" s="109"/>
      <c r="Q484" s="114"/>
    </row>
    <row r="485" ht="15.75" customHeight="1">
      <c r="F485" s="109"/>
      <c r="M485" s="109"/>
      <c r="N485" s="109"/>
      <c r="O485" s="109"/>
      <c r="Q485" s="114"/>
    </row>
    <row r="486" ht="15.75" customHeight="1">
      <c r="F486" s="109"/>
      <c r="M486" s="109"/>
      <c r="N486" s="109"/>
      <c r="O486" s="109"/>
      <c r="Q486" s="114"/>
    </row>
    <row r="487" ht="15.75" customHeight="1">
      <c r="F487" s="109"/>
      <c r="M487" s="109"/>
      <c r="N487" s="109"/>
      <c r="O487" s="109"/>
      <c r="Q487" s="114"/>
    </row>
    <row r="488" ht="15.75" customHeight="1">
      <c r="F488" s="109"/>
      <c r="M488" s="109"/>
      <c r="N488" s="109"/>
      <c r="O488" s="109"/>
      <c r="Q488" s="114"/>
    </row>
    <row r="489" ht="15.75" customHeight="1">
      <c r="F489" s="109"/>
      <c r="M489" s="109"/>
      <c r="N489" s="109"/>
      <c r="O489" s="109"/>
      <c r="Q489" s="114"/>
    </row>
    <row r="490" ht="15.75" customHeight="1">
      <c r="F490" s="109"/>
      <c r="M490" s="109"/>
      <c r="N490" s="109"/>
      <c r="O490" s="109"/>
      <c r="Q490" s="114"/>
    </row>
    <row r="491" ht="15.75" customHeight="1">
      <c r="F491" s="109"/>
      <c r="M491" s="109"/>
      <c r="N491" s="109"/>
      <c r="O491" s="109"/>
      <c r="Q491" s="114"/>
    </row>
    <row r="492" ht="15.75" customHeight="1">
      <c r="F492" s="109"/>
      <c r="M492" s="109"/>
      <c r="N492" s="109"/>
      <c r="O492" s="109"/>
      <c r="Q492" s="114"/>
    </row>
    <row r="493" ht="15.75" customHeight="1">
      <c r="F493" s="109"/>
      <c r="M493" s="109"/>
      <c r="N493" s="109"/>
      <c r="O493" s="109"/>
      <c r="Q493" s="114"/>
    </row>
    <row r="494" ht="15.75" customHeight="1">
      <c r="F494" s="109"/>
      <c r="M494" s="109"/>
      <c r="N494" s="109"/>
      <c r="O494" s="109"/>
      <c r="Q494" s="114"/>
    </row>
    <row r="495" ht="15.75" customHeight="1">
      <c r="F495" s="109"/>
      <c r="M495" s="109"/>
      <c r="N495" s="109"/>
      <c r="O495" s="109"/>
      <c r="Q495" s="114"/>
    </row>
    <row r="496" ht="15.75" customHeight="1">
      <c r="F496" s="109"/>
      <c r="M496" s="109"/>
      <c r="N496" s="109"/>
      <c r="O496" s="109"/>
      <c r="Q496" s="114"/>
    </row>
    <row r="497" ht="15.75" customHeight="1">
      <c r="F497" s="109"/>
      <c r="M497" s="109"/>
      <c r="N497" s="109"/>
      <c r="O497" s="109"/>
      <c r="Q497" s="114"/>
    </row>
    <row r="498" ht="15.75" customHeight="1">
      <c r="F498" s="109"/>
      <c r="M498" s="109"/>
      <c r="N498" s="109"/>
      <c r="O498" s="109"/>
      <c r="Q498" s="114"/>
    </row>
    <row r="499" ht="15.75" customHeight="1">
      <c r="F499" s="109"/>
      <c r="M499" s="109"/>
      <c r="N499" s="109"/>
      <c r="O499" s="109"/>
      <c r="Q499" s="114"/>
    </row>
    <row r="500" ht="15.75" customHeight="1">
      <c r="F500" s="109"/>
      <c r="M500" s="109"/>
      <c r="N500" s="109"/>
      <c r="O500" s="109"/>
      <c r="Q500" s="114"/>
    </row>
    <row r="501" ht="15.75" customHeight="1">
      <c r="F501" s="109"/>
      <c r="M501" s="109"/>
      <c r="N501" s="109"/>
      <c r="O501" s="109"/>
      <c r="Q501" s="114"/>
    </row>
    <row r="502" ht="15.75" customHeight="1">
      <c r="F502" s="109"/>
      <c r="M502" s="109"/>
      <c r="N502" s="109"/>
      <c r="O502" s="109"/>
      <c r="Q502" s="114"/>
    </row>
    <row r="503" ht="15.75" customHeight="1">
      <c r="F503" s="109"/>
      <c r="M503" s="109"/>
      <c r="N503" s="109"/>
      <c r="O503" s="109"/>
      <c r="Q503" s="114"/>
    </row>
    <row r="504" ht="15.75" customHeight="1">
      <c r="F504" s="109"/>
      <c r="M504" s="109"/>
      <c r="N504" s="109"/>
      <c r="O504" s="109"/>
      <c r="Q504" s="114"/>
    </row>
    <row r="505" ht="15.75" customHeight="1">
      <c r="F505" s="109"/>
      <c r="M505" s="109"/>
      <c r="N505" s="109"/>
      <c r="O505" s="109"/>
      <c r="Q505" s="114"/>
    </row>
    <row r="506" ht="15.75" customHeight="1">
      <c r="F506" s="109"/>
      <c r="M506" s="109"/>
      <c r="N506" s="109"/>
      <c r="O506" s="109"/>
      <c r="Q506" s="114"/>
    </row>
    <row r="507" ht="15.75" customHeight="1">
      <c r="F507" s="109"/>
      <c r="M507" s="109"/>
      <c r="N507" s="109"/>
      <c r="O507" s="109"/>
      <c r="Q507" s="114"/>
    </row>
    <row r="508" ht="15.75" customHeight="1">
      <c r="F508" s="109"/>
      <c r="M508" s="109"/>
      <c r="N508" s="109"/>
      <c r="O508" s="109"/>
      <c r="Q508" s="114"/>
    </row>
    <row r="509" ht="15.75" customHeight="1">
      <c r="F509" s="109"/>
      <c r="M509" s="109"/>
      <c r="N509" s="109"/>
      <c r="O509" s="109"/>
      <c r="Q509" s="114"/>
    </row>
    <row r="510" ht="15.75" customHeight="1">
      <c r="F510" s="109"/>
      <c r="M510" s="109"/>
      <c r="N510" s="109"/>
      <c r="O510" s="109"/>
      <c r="Q510" s="114"/>
    </row>
    <row r="511" ht="15.75" customHeight="1">
      <c r="F511" s="109"/>
      <c r="M511" s="109"/>
      <c r="N511" s="109"/>
      <c r="O511" s="109"/>
      <c r="Q511" s="114"/>
    </row>
    <row r="512" ht="15.75" customHeight="1">
      <c r="F512" s="109"/>
      <c r="M512" s="109"/>
      <c r="N512" s="109"/>
      <c r="O512" s="109"/>
      <c r="Q512" s="114"/>
    </row>
    <row r="513" ht="15.75" customHeight="1">
      <c r="F513" s="109"/>
      <c r="M513" s="109"/>
      <c r="N513" s="109"/>
      <c r="O513" s="109"/>
      <c r="Q513" s="114"/>
    </row>
    <row r="514" ht="15.75" customHeight="1">
      <c r="F514" s="109"/>
      <c r="M514" s="109"/>
      <c r="N514" s="109"/>
      <c r="O514" s="109"/>
      <c r="Q514" s="114"/>
    </row>
    <row r="515" ht="15.75" customHeight="1">
      <c r="F515" s="109"/>
      <c r="M515" s="109"/>
      <c r="N515" s="109"/>
      <c r="O515" s="109"/>
      <c r="Q515" s="114"/>
    </row>
    <row r="516" ht="15.75" customHeight="1">
      <c r="F516" s="109"/>
      <c r="M516" s="109"/>
      <c r="N516" s="109"/>
      <c r="O516" s="109"/>
      <c r="Q516" s="114"/>
    </row>
    <row r="517" ht="15.75" customHeight="1">
      <c r="F517" s="109"/>
      <c r="M517" s="109"/>
      <c r="N517" s="109"/>
      <c r="O517" s="109"/>
      <c r="Q517" s="114"/>
    </row>
    <row r="518" ht="15.75" customHeight="1">
      <c r="F518" s="109"/>
      <c r="M518" s="109"/>
      <c r="N518" s="109"/>
      <c r="O518" s="109"/>
      <c r="Q518" s="114"/>
    </row>
    <row r="519" ht="15.75" customHeight="1">
      <c r="F519" s="109"/>
      <c r="M519" s="109"/>
      <c r="N519" s="109"/>
      <c r="O519" s="109"/>
      <c r="Q519" s="114"/>
    </row>
    <row r="520" ht="15.75" customHeight="1">
      <c r="F520" s="109"/>
      <c r="M520" s="109"/>
      <c r="N520" s="109"/>
      <c r="O520" s="109"/>
      <c r="Q520" s="114"/>
    </row>
    <row r="521" ht="15.75" customHeight="1">
      <c r="F521" s="109"/>
      <c r="M521" s="109"/>
      <c r="N521" s="109"/>
      <c r="O521" s="109"/>
      <c r="Q521" s="114"/>
    </row>
    <row r="522" ht="15.75" customHeight="1">
      <c r="F522" s="109"/>
      <c r="M522" s="109"/>
      <c r="N522" s="109"/>
      <c r="O522" s="109"/>
      <c r="Q522" s="114"/>
    </row>
    <row r="523" ht="15.75" customHeight="1">
      <c r="F523" s="109"/>
      <c r="M523" s="109"/>
      <c r="N523" s="109"/>
      <c r="O523" s="109"/>
      <c r="Q523" s="114"/>
    </row>
    <row r="524" ht="15.75" customHeight="1">
      <c r="F524" s="109"/>
      <c r="M524" s="109"/>
      <c r="N524" s="109"/>
      <c r="O524" s="109"/>
      <c r="Q524" s="114"/>
    </row>
    <row r="525" ht="15.75" customHeight="1">
      <c r="F525" s="109"/>
      <c r="M525" s="109"/>
      <c r="N525" s="109"/>
      <c r="O525" s="109"/>
      <c r="Q525" s="114"/>
    </row>
    <row r="526" ht="15.75" customHeight="1">
      <c r="F526" s="109"/>
      <c r="M526" s="109"/>
      <c r="N526" s="109"/>
      <c r="O526" s="109"/>
      <c r="Q526" s="114"/>
    </row>
    <row r="527" ht="15.75" customHeight="1">
      <c r="F527" s="109"/>
      <c r="M527" s="109"/>
      <c r="N527" s="109"/>
      <c r="O527" s="109"/>
      <c r="Q527" s="114"/>
    </row>
    <row r="528" ht="15.75" customHeight="1">
      <c r="F528" s="109"/>
      <c r="M528" s="109"/>
      <c r="N528" s="109"/>
      <c r="O528" s="109"/>
      <c r="Q528" s="114"/>
    </row>
    <row r="529" ht="15.75" customHeight="1">
      <c r="F529" s="109"/>
      <c r="M529" s="109"/>
      <c r="N529" s="109"/>
      <c r="O529" s="109"/>
      <c r="Q529" s="114"/>
    </row>
    <row r="530" ht="15.75" customHeight="1">
      <c r="F530" s="109"/>
      <c r="M530" s="109"/>
      <c r="N530" s="109"/>
      <c r="O530" s="109"/>
      <c r="Q530" s="114"/>
    </row>
    <row r="531" ht="15.75" customHeight="1">
      <c r="F531" s="109"/>
      <c r="M531" s="109"/>
      <c r="N531" s="109"/>
      <c r="O531" s="109"/>
      <c r="Q531" s="114"/>
    </row>
    <row r="532" ht="15.75" customHeight="1">
      <c r="F532" s="109"/>
      <c r="M532" s="109"/>
      <c r="N532" s="109"/>
      <c r="O532" s="109"/>
      <c r="Q532" s="114"/>
    </row>
    <row r="533" ht="15.75" customHeight="1">
      <c r="F533" s="109"/>
      <c r="M533" s="109"/>
      <c r="N533" s="109"/>
      <c r="O533" s="109"/>
      <c r="Q533" s="114"/>
    </row>
    <row r="534" ht="15.75" customHeight="1">
      <c r="F534" s="109"/>
      <c r="M534" s="109"/>
      <c r="N534" s="109"/>
      <c r="O534" s="109"/>
      <c r="Q534" s="114"/>
    </row>
    <row r="535" ht="15.75" customHeight="1">
      <c r="F535" s="109"/>
      <c r="M535" s="109"/>
      <c r="N535" s="109"/>
      <c r="O535" s="109"/>
      <c r="Q535" s="114"/>
    </row>
    <row r="536" ht="15.75" customHeight="1">
      <c r="F536" s="109"/>
      <c r="M536" s="109"/>
      <c r="N536" s="109"/>
      <c r="O536" s="109"/>
      <c r="Q536" s="114"/>
    </row>
    <row r="537" ht="15.75" customHeight="1">
      <c r="F537" s="109"/>
      <c r="M537" s="109"/>
      <c r="N537" s="109"/>
      <c r="O537" s="109"/>
      <c r="Q537" s="114"/>
    </row>
    <row r="538" ht="15.75" customHeight="1">
      <c r="F538" s="109"/>
      <c r="M538" s="109"/>
      <c r="N538" s="109"/>
      <c r="O538" s="109"/>
      <c r="Q538" s="114"/>
    </row>
    <row r="539" ht="15.75" customHeight="1">
      <c r="F539" s="109"/>
      <c r="M539" s="109"/>
      <c r="N539" s="109"/>
      <c r="O539" s="109"/>
      <c r="Q539" s="114"/>
    </row>
    <row r="540" ht="15.75" customHeight="1">
      <c r="F540" s="109"/>
      <c r="M540" s="109"/>
      <c r="N540" s="109"/>
      <c r="O540" s="109"/>
      <c r="Q540" s="114"/>
    </row>
    <row r="541" ht="15.75" customHeight="1">
      <c r="F541" s="109"/>
      <c r="M541" s="109"/>
      <c r="N541" s="109"/>
      <c r="O541" s="109"/>
      <c r="Q541" s="114"/>
    </row>
    <row r="542" ht="15.75" customHeight="1">
      <c r="F542" s="109"/>
      <c r="M542" s="109"/>
      <c r="N542" s="109"/>
      <c r="O542" s="109"/>
      <c r="Q542" s="114"/>
    </row>
    <row r="543" ht="15.75" customHeight="1">
      <c r="F543" s="109"/>
      <c r="M543" s="109"/>
      <c r="N543" s="109"/>
      <c r="O543" s="109"/>
      <c r="Q543" s="114"/>
    </row>
    <row r="544" ht="15.75" customHeight="1">
      <c r="F544" s="109"/>
      <c r="M544" s="109"/>
      <c r="N544" s="109"/>
      <c r="O544" s="109"/>
      <c r="Q544" s="114"/>
    </row>
    <row r="545" ht="15.75" customHeight="1">
      <c r="F545" s="109"/>
      <c r="M545" s="109"/>
      <c r="N545" s="109"/>
      <c r="O545" s="109"/>
      <c r="Q545" s="114"/>
    </row>
    <row r="546" ht="15.75" customHeight="1">
      <c r="F546" s="109"/>
      <c r="M546" s="109"/>
      <c r="N546" s="109"/>
      <c r="O546" s="109"/>
      <c r="Q546" s="114"/>
    </row>
    <row r="547" ht="15.75" customHeight="1">
      <c r="F547" s="109"/>
      <c r="M547" s="109"/>
      <c r="N547" s="109"/>
      <c r="O547" s="109"/>
      <c r="Q547" s="114"/>
    </row>
    <row r="548" ht="15.75" customHeight="1">
      <c r="F548" s="109"/>
      <c r="M548" s="109"/>
      <c r="N548" s="109"/>
      <c r="O548" s="109"/>
      <c r="Q548" s="114"/>
    </row>
    <row r="549" ht="15.75" customHeight="1">
      <c r="F549" s="109"/>
      <c r="M549" s="109"/>
      <c r="N549" s="109"/>
      <c r="O549" s="109"/>
      <c r="Q549" s="114"/>
    </row>
    <row r="550" ht="15.75" customHeight="1">
      <c r="F550" s="109"/>
      <c r="M550" s="109"/>
      <c r="N550" s="109"/>
      <c r="O550" s="109"/>
      <c r="Q550" s="114"/>
    </row>
    <row r="551" ht="15.75" customHeight="1">
      <c r="F551" s="109"/>
      <c r="M551" s="109"/>
      <c r="N551" s="109"/>
      <c r="O551" s="109"/>
      <c r="Q551" s="114"/>
    </row>
    <row r="552" ht="15.75" customHeight="1">
      <c r="F552" s="109"/>
      <c r="M552" s="109"/>
      <c r="N552" s="109"/>
      <c r="O552" s="109"/>
      <c r="Q552" s="114"/>
    </row>
    <row r="553" ht="15.75" customHeight="1">
      <c r="F553" s="109"/>
      <c r="M553" s="109"/>
      <c r="N553" s="109"/>
      <c r="O553" s="109"/>
      <c r="Q553" s="114"/>
    </row>
    <row r="554" ht="15.75" customHeight="1">
      <c r="F554" s="109"/>
      <c r="M554" s="109"/>
      <c r="N554" s="109"/>
      <c r="O554" s="109"/>
      <c r="Q554" s="114"/>
    </row>
    <row r="555" ht="15.75" customHeight="1">
      <c r="F555" s="109"/>
      <c r="M555" s="109"/>
      <c r="N555" s="109"/>
      <c r="O555" s="109"/>
      <c r="Q555" s="114"/>
    </row>
    <row r="556" ht="15.75" customHeight="1">
      <c r="F556" s="109"/>
      <c r="M556" s="109"/>
      <c r="N556" s="109"/>
      <c r="O556" s="109"/>
      <c r="Q556" s="114"/>
    </row>
    <row r="557" ht="15.75" customHeight="1">
      <c r="F557" s="109"/>
      <c r="M557" s="109"/>
      <c r="N557" s="109"/>
      <c r="O557" s="109"/>
      <c r="Q557" s="114"/>
    </row>
    <row r="558" ht="15.75" customHeight="1">
      <c r="F558" s="109"/>
      <c r="M558" s="109"/>
      <c r="N558" s="109"/>
      <c r="O558" s="109"/>
      <c r="Q558" s="114"/>
    </row>
    <row r="559" ht="15.75" customHeight="1">
      <c r="F559" s="109"/>
      <c r="M559" s="109"/>
      <c r="N559" s="109"/>
      <c r="O559" s="109"/>
      <c r="Q559" s="114"/>
    </row>
    <row r="560" ht="15.75" customHeight="1">
      <c r="F560" s="109"/>
      <c r="M560" s="109"/>
      <c r="N560" s="109"/>
      <c r="O560" s="109"/>
      <c r="Q560" s="114"/>
    </row>
    <row r="561" ht="15.75" customHeight="1">
      <c r="F561" s="109"/>
      <c r="M561" s="109"/>
      <c r="N561" s="109"/>
      <c r="O561" s="109"/>
      <c r="Q561" s="114"/>
    </row>
    <row r="562" ht="15.75" customHeight="1">
      <c r="F562" s="109"/>
      <c r="M562" s="109"/>
      <c r="N562" s="109"/>
      <c r="O562" s="109"/>
      <c r="Q562" s="114"/>
    </row>
    <row r="563" ht="15.75" customHeight="1">
      <c r="F563" s="109"/>
      <c r="M563" s="109"/>
      <c r="N563" s="109"/>
      <c r="O563" s="109"/>
      <c r="Q563" s="114"/>
    </row>
    <row r="564" ht="15.75" customHeight="1">
      <c r="F564" s="109"/>
      <c r="M564" s="109"/>
      <c r="N564" s="109"/>
      <c r="O564" s="109"/>
      <c r="Q564" s="114"/>
    </row>
    <row r="565" ht="15.75" customHeight="1">
      <c r="F565" s="109"/>
      <c r="M565" s="109"/>
      <c r="N565" s="109"/>
      <c r="O565" s="109"/>
      <c r="Q565" s="114"/>
    </row>
    <row r="566" ht="15.75" customHeight="1">
      <c r="F566" s="109"/>
      <c r="M566" s="109"/>
      <c r="N566" s="109"/>
      <c r="O566" s="109"/>
      <c r="Q566" s="114"/>
    </row>
    <row r="567" ht="15.75" customHeight="1">
      <c r="F567" s="109"/>
      <c r="M567" s="109"/>
      <c r="N567" s="109"/>
      <c r="O567" s="109"/>
      <c r="Q567" s="114"/>
    </row>
    <row r="568" ht="15.75" customHeight="1">
      <c r="F568" s="109"/>
      <c r="M568" s="109"/>
      <c r="N568" s="109"/>
      <c r="O568" s="109"/>
      <c r="Q568" s="114"/>
    </row>
    <row r="569" ht="15.75" customHeight="1">
      <c r="F569" s="109"/>
      <c r="M569" s="109"/>
      <c r="N569" s="109"/>
      <c r="O569" s="109"/>
      <c r="Q569" s="114"/>
    </row>
    <row r="570" ht="15.75" customHeight="1">
      <c r="F570" s="109"/>
      <c r="M570" s="109"/>
      <c r="N570" s="109"/>
      <c r="O570" s="109"/>
      <c r="Q570" s="114"/>
    </row>
    <row r="571" ht="15.75" customHeight="1">
      <c r="F571" s="109"/>
      <c r="M571" s="109"/>
      <c r="N571" s="109"/>
      <c r="O571" s="109"/>
      <c r="Q571" s="114"/>
    </row>
    <row r="572" ht="15.75" customHeight="1">
      <c r="F572" s="109"/>
      <c r="M572" s="109"/>
      <c r="N572" s="109"/>
      <c r="O572" s="109"/>
      <c r="Q572" s="114"/>
    </row>
    <row r="573" ht="15.75" customHeight="1">
      <c r="F573" s="109"/>
      <c r="M573" s="109"/>
      <c r="N573" s="109"/>
      <c r="O573" s="109"/>
      <c r="Q573" s="114"/>
    </row>
    <row r="574" ht="15.75" customHeight="1">
      <c r="F574" s="109"/>
      <c r="M574" s="109"/>
      <c r="N574" s="109"/>
      <c r="O574" s="109"/>
      <c r="Q574" s="114"/>
    </row>
    <row r="575" ht="15.75" customHeight="1">
      <c r="F575" s="109"/>
      <c r="M575" s="109"/>
      <c r="N575" s="109"/>
      <c r="O575" s="109"/>
      <c r="Q575" s="114"/>
    </row>
    <row r="576" ht="15.75" customHeight="1">
      <c r="F576" s="109"/>
      <c r="M576" s="109"/>
      <c r="N576" s="109"/>
      <c r="O576" s="109"/>
      <c r="Q576" s="114"/>
    </row>
    <row r="577" ht="15.75" customHeight="1">
      <c r="F577" s="109"/>
      <c r="M577" s="109"/>
      <c r="N577" s="109"/>
      <c r="O577" s="109"/>
      <c r="Q577" s="114"/>
    </row>
    <row r="578" ht="15.75" customHeight="1">
      <c r="F578" s="109"/>
      <c r="M578" s="109"/>
      <c r="N578" s="109"/>
      <c r="O578" s="109"/>
      <c r="Q578" s="114"/>
    </row>
    <row r="579" ht="15.75" customHeight="1">
      <c r="F579" s="109"/>
      <c r="M579" s="109"/>
      <c r="N579" s="109"/>
      <c r="O579" s="109"/>
      <c r="Q579" s="114"/>
    </row>
    <row r="580" ht="15.75" customHeight="1">
      <c r="F580" s="109"/>
      <c r="M580" s="109"/>
      <c r="N580" s="109"/>
      <c r="O580" s="109"/>
      <c r="Q580" s="114"/>
    </row>
    <row r="581" ht="15.75" customHeight="1">
      <c r="F581" s="109"/>
      <c r="M581" s="109"/>
      <c r="N581" s="109"/>
      <c r="O581" s="109"/>
      <c r="Q581" s="114"/>
    </row>
    <row r="582" ht="15.75" customHeight="1">
      <c r="F582" s="109"/>
      <c r="M582" s="109"/>
      <c r="N582" s="109"/>
      <c r="O582" s="109"/>
      <c r="Q582" s="114"/>
    </row>
    <row r="583" ht="15.75" customHeight="1">
      <c r="F583" s="109"/>
      <c r="M583" s="109"/>
      <c r="N583" s="109"/>
      <c r="O583" s="109"/>
      <c r="Q583" s="114"/>
    </row>
    <row r="584" ht="15.75" customHeight="1">
      <c r="F584" s="109"/>
      <c r="M584" s="109"/>
      <c r="N584" s="109"/>
      <c r="O584" s="109"/>
      <c r="Q584" s="114"/>
    </row>
    <row r="585" ht="15.75" customHeight="1">
      <c r="F585" s="109"/>
      <c r="M585" s="109"/>
      <c r="N585" s="109"/>
      <c r="O585" s="109"/>
      <c r="Q585" s="114"/>
    </row>
    <row r="586" ht="15.75" customHeight="1">
      <c r="F586" s="109"/>
      <c r="M586" s="109"/>
      <c r="N586" s="109"/>
      <c r="O586" s="109"/>
      <c r="Q586" s="114"/>
    </row>
    <row r="587" ht="15.75" customHeight="1">
      <c r="F587" s="109"/>
      <c r="M587" s="109"/>
      <c r="N587" s="109"/>
      <c r="O587" s="109"/>
      <c r="Q587" s="114"/>
    </row>
    <row r="588" ht="15.75" customHeight="1">
      <c r="F588" s="109"/>
      <c r="M588" s="109"/>
      <c r="N588" s="109"/>
      <c r="O588" s="109"/>
      <c r="Q588" s="114"/>
    </row>
    <row r="589" ht="15.75" customHeight="1">
      <c r="F589" s="109"/>
      <c r="M589" s="109"/>
      <c r="N589" s="109"/>
      <c r="O589" s="109"/>
      <c r="Q589" s="114"/>
    </row>
    <row r="590" ht="15.75" customHeight="1">
      <c r="F590" s="109"/>
      <c r="M590" s="109"/>
      <c r="N590" s="109"/>
      <c r="O590" s="109"/>
      <c r="Q590" s="114"/>
    </row>
    <row r="591" ht="15.75" customHeight="1">
      <c r="F591" s="109"/>
      <c r="M591" s="109"/>
      <c r="N591" s="109"/>
      <c r="O591" s="109"/>
      <c r="Q591" s="114"/>
    </row>
    <row r="592" ht="15.75" customHeight="1">
      <c r="F592" s="109"/>
      <c r="M592" s="109"/>
      <c r="N592" s="109"/>
      <c r="O592" s="109"/>
      <c r="Q592" s="114"/>
    </row>
    <row r="593" ht="15.75" customHeight="1">
      <c r="F593" s="109"/>
      <c r="M593" s="109"/>
      <c r="N593" s="109"/>
      <c r="O593" s="109"/>
      <c r="Q593" s="114"/>
    </row>
    <row r="594" ht="15.75" customHeight="1">
      <c r="F594" s="109"/>
      <c r="M594" s="109"/>
      <c r="N594" s="109"/>
      <c r="O594" s="109"/>
      <c r="Q594" s="114"/>
    </row>
    <row r="595" ht="15.75" customHeight="1">
      <c r="F595" s="109"/>
      <c r="M595" s="109"/>
      <c r="N595" s="109"/>
      <c r="O595" s="109"/>
      <c r="Q595" s="114"/>
    </row>
    <row r="596" ht="15.75" customHeight="1">
      <c r="F596" s="109"/>
      <c r="M596" s="109"/>
      <c r="N596" s="109"/>
      <c r="O596" s="109"/>
      <c r="Q596" s="114"/>
    </row>
    <row r="597" ht="15.75" customHeight="1">
      <c r="F597" s="109"/>
      <c r="M597" s="109"/>
      <c r="N597" s="109"/>
      <c r="O597" s="109"/>
      <c r="Q597" s="114"/>
    </row>
    <row r="598" ht="15.75" customHeight="1">
      <c r="F598" s="109"/>
      <c r="M598" s="109"/>
      <c r="N598" s="109"/>
      <c r="O598" s="109"/>
      <c r="Q598" s="114"/>
    </row>
    <row r="599" ht="15.75" customHeight="1">
      <c r="F599" s="109"/>
      <c r="M599" s="109"/>
      <c r="N599" s="109"/>
      <c r="O599" s="109"/>
      <c r="Q599" s="114"/>
    </row>
    <row r="600" ht="15.75" customHeight="1">
      <c r="F600" s="109"/>
      <c r="M600" s="109"/>
      <c r="N600" s="109"/>
      <c r="O600" s="109"/>
      <c r="Q600" s="114"/>
    </row>
    <row r="601" ht="15.75" customHeight="1">
      <c r="F601" s="109"/>
      <c r="M601" s="109"/>
      <c r="N601" s="109"/>
      <c r="O601" s="109"/>
      <c r="Q601" s="114"/>
    </row>
    <row r="602" ht="15.75" customHeight="1">
      <c r="F602" s="109"/>
      <c r="M602" s="109"/>
      <c r="N602" s="109"/>
      <c r="O602" s="109"/>
      <c r="Q602" s="114"/>
    </row>
    <row r="603" ht="15.75" customHeight="1">
      <c r="F603" s="109"/>
      <c r="M603" s="109"/>
      <c r="N603" s="109"/>
      <c r="O603" s="109"/>
      <c r="Q603" s="114"/>
    </row>
    <row r="604" ht="15.75" customHeight="1">
      <c r="F604" s="109"/>
      <c r="M604" s="109"/>
      <c r="N604" s="109"/>
      <c r="O604" s="109"/>
      <c r="Q604" s="114"/>
    </row>
    <row r="605" ht="15.75" customHeight="1">
      <c r="F605" s="109"/>
      <c r="M605" s="109"/>
      <c r="N605" s="109"/>
      <c r="O605" s="109"/>
      <c r="Q605" s="114"/>
    </row>
    <row r="606" ht="15.75" customHeight="1">
      <c r="F606" s="109"/>
      <c r="M606" s="109"/>
      <c r="N606" s="109"/>
      <c r="O606" s="109"/>
      <c r="Q606" s="114"/>
    </row>
    <row r="607" ht="15.75" customHeight="1">
      <c r="F607" s="109"/>
      <c r="M607" s="109"/>
      <c r="N607" s="109"/>
      <c r="O607" s="109"/>
      <c r="Q607" s="114"/>
    </row>
    <row r="608" ht="15.75" customHeight="1">
      <c r="F608" s="109"/>
      <c r="M608" s="109"/>
      <c r="N608" s="109"/>
      <c r="O608" s="109"/>
      <c r="Q608" s="114"/>
    </row>
    <row r="609" ht="15.75" customHeight="1">
      <c r="F609" s="109"/>
      <c r="M609" s="109"/>
      <c r="N609" s="109"/>
      <c r="O609" s="109"/>
      <c r="Q609" s="114"/>
    </row>
    <row r="610" ht="15.75" customHeight="1">
      <c r="F610" s="109"/>
      <c r="M610" s="109"/>
      <c r="N610" s="109"/>
      <c r="O610" s="109"/>
      <c r="Q610" s="114"/>
    </row>
    <row r="611" ht="15.75" customHeight="1">
      <c r="F611" s="109"/>
      <c r="M611" s="109"/>
      <c r="N611" s="109"/>
      <c r="O611" s="109"/>
      <c r="Q611" s="114"/>
    </row>
    <row r="612" ht="15.75" customHeight="1">
      <c r="F612" s="109"/>
      <c r="M612" s="109"/>
      <c r="N612" s="109"/>
      <c r="O612" s="109"/>
      <c r="Q612" s="114"/>
    </row>
    <row r="613" ht="15.75" customHeight="1">
      <c r="F613" s="109"/>
      <c r="M613" s="109"/>
      <c r="N613" s="109"/>
      <c r="O613" s="109"/>
      <c r="Q613" s="114"/>
    </row>
    <row r="614" ht="15.75" customHeight="1">
      <c r="F614" s="109"/>
      <c r="M614" s="109"/>
      <c r="N614" s="109"/>
      <c r="O614" s="109"/>
      <c r="Q614" s="114"/>
    </row>
    <row r="615" ht="15.75" customHeight="1">
      <c r="F615" s="109"/>
      <c r="M615" s="109"/>
      <c r="N615" s="109"/>
      <c r="O615" s="109"/>
      <c r="Q615" s="114"/>
    </row>
    <row r="616" ht="15.75" customHeight="1">
      <c r="F616" s="109"/>
      <c r="M616" s="109"/>
      <c r="N616" s="109"/>
      <c r="O616" s="109"/>
      <c r="Q616" s="114"/>
    </row>
    <row r="617" ht="15.75" customHeight="1">
      <c r="F617" s="109"/>
      <c r="M617" s="109"/>
      <c r="N617" s="109"/>
      <c r="O617" s="109"/>
      <c r="Q617" s="114"/>
    </row>
    <row r="618" ht="15.75" customHeight="1">
      <c r="F618" s="109"/>
      <c r="M618" s="109"/>
      <c r="N618" s="109"/>
      <c r="O618" s="109"/>
      <c r="Q618" s="114"/>
    </row>
    <row r="619" ht="15.75" customHeight="1">
      <c r="F619" s="109"/>
      <c r="M619" s="109"/>
      <c r="N619" s="109"/>
      <c r="O619" s="109"/>
      <c r="Q619" s="114"/>
    </row>
    <row r="620" ht="15.75" customHeight="1">
      <c r="F620" s="109"/>
      <c r="M620" s="109"/>
      <c r="N620" s="109"/>
      <c r="O620" s="109"/>
      <c r="Q620" s="114"/>
    </row>
    <row r="621" ht="15.75" customHeight="1">
      <c r="F621" s="109"/>
      <c r="M621" s="109"/>
      <c r="N621" s="109"/>
      <c r="O621" s="109"/>
      <c r="Q621" s="114"/>
    </row>
    <row r="622" ht="15.75" customHeight="1">
      <c r="F622" s="109"/>
      <c r="M622" s="109"/>
      <c r="N622" s="109"/>
      <c r="O622" s="109"/>
      <c r="Q622" s="114"/>
    </row>
    <row r="623" ht="15.75" customHeight="1">
      <c r="F623" s="109"/>
      <c r="M623" s="109"/>
      <c r="N623" s="109"/>
      <c r="O623" s="109"/>
      <c r="Q623" s="114"/>
    </row>
    <row r="624" ht="15.75" customHeight="1">
      <c r="F624" s="109"/>
      <c r="M624" s="109"/>
      <c r="N624" s="109"/>
      <c r="O624" s="109"/>
      <c r="Q624" s="114"/>
    </row>
    <row r="625" ht="15.75" customHeight="1">
      <c r="F625" s="109"/>
      <c r="M625" s="109"/>
      <c r="N625" s="109"/>
      <c r="O625" s="109"/>
      <c r="Q625" s="114"/>
    </row>
    <row r="626" ht="15.75" customHeight="1">
      <c r="F626" s="109"/>
      <c r="M626" s="109"/>
      <c r="N626" s="109"/>
      <c r="O626" s="109"/>
      <c r="Q626" s="114"/>
    </row>
    <row r="627" ht="15.75" customHeight="1">
      <c r="F627" s="109"/>
      <c r="M627" s="109"/>
      <c r="N627" s="109"/>
      <c r="O627" s="109"/>
      <c r="Q627" s="114"/>
    </row>
    <row r="628" ht="15.75" customHeight="1">
      <c r="F628" s="109"/>
      <c r="M628" s="109"/>
      <c r="N628" s="109"/>
      <c r="O628" s="109"/>
      <c r="Q628" s="114"/>
    </row>
    <row r="629" ht="15.75" customHeight="1">
      <c r="F629" s="109"/>
      <c r="M629" s="109"/>
      <c r="N629" s="109"/>
      <c r="O629" s="109"/>
      <c r="Q629" s="114"/>
    </row>
    <row r="630" ht="15.75" customHeight="1">
      <c r="F630" s="109"/>
      <c r="M630" s="109"/>
      <c r="N630" s="109"/>
      <c r="O630" s="109"/>
      <c r="Q630" s="114"/>
    </row>
    <row r="631" ht="15.75" customHeight="1">
      <c r="F631" s="109"/>
      <c r="M631" s="109"/>
      <c r="N631" s="109"/>
      <c r="O631" s="109"/>
      <c r="Q631" s="114"/>
    </row>
    <row r="632" ht="15.75" customHeight="1">
      <c r="F632" s="109"/>
      <c r="M632" s="109"/>
      <c r="N632" s="109"/>
      <c r="O632" s="109"/>
      <c r="Q632" s="114"/>
    </row>
    <row r="633" ht="15.75" customHeight="1">
      <c r="F633" s="109"/>
      <c r="M633" s="109"/>
      <c r="N633" s="109"/>
      <c r="O633" s="109"/>
      <c r="Q633" s="114"/>
    </row>
    <row r="634" ht="15.75" customHeight="1">
      <c r="F634" s="109"/>
      <c r="M634" s="109"/>
      <c r="N634" s="109"/>
      <c r="O634" s="109"/>
      <c r="Q634" s="114"/>
    </row>
    <row r="635" ht="15.75" customHeight="1">
      <c r="F635" s="109"/>
      <c r="M635" s="109"/>
      <c r="N635" s="109"/>
      <c r="O635" s="109"/>
      <c r="Q635" s="114"/>
    </row>
    <row r="636" ht="15.75" customHeight="1">
      <c r="F636" s="109"/>
      <c r="M636" s="109"/>
      <c r="N636" s="109"/>
      <c r="O636" s="109"/>
      <c r="Q636" s="114"/>
    </row>
    <row r="637" ht="15.75" customHeight="1">
      <c r="F637" s="109"/>
      <c r="M637" s="109"/>
      <c r="N637" s="109"/>
      <c r="O637" s="109"/>
      <c r="Q637" s="114"/>
    </row>
    <row r="638" ht="15.75" customHeight="1">
      <c r="F638" s="109"/>
      <c r="M638" s="109"/>
      <c r="N638" s="109"/>
      <c r="O638" s="109"/>
      <c r="Q638" s="114"/>
    </row>
    <row r="639" ht="15.75" customHeight="1">
      <c r="F639" s="109"/>
      <c r="M639" s="109"/>
      <c r="N639" s="109"/>
      <c r="O639" s="109"/>
      <c r="Q639" s="114"/>
    </row>
    <row r="640" ht="15.75" customHeight="1">
      <c r="F640" s="109"/>
      <c r="M640" s="109"/>
      <c r="N640" s="109"/>
      <c r="O640" s="109"/>
      <c r="Q640" s="114"/>
    </row>
    <row r="641" ht="15.75" customHeight="1">
      <c r="F641" s="109"/>
      <c r="M641" s="109"/>
      <c r="N641" s="109"/>
      <c r="O641" s="109"/>
      <c r="Q641" s="114"/>
    </row>
    <row r="642" ht="15.75" customHeight="1">
      <c r="F642" s="109"/>
      <c r="M642" s="109"/>
      <c r="N642" s="109"/>
      <c r="O642" s="109"/>
      <c r="Q642" s="114"/>
    </row>
    <row r="643" ht="15.75" customHeight="1">
      <c r="F643" s="109"/>
      <c r="M643" s="109"/>
      <c r="N643" s="109"/>
      <c r="O643" s="109"/>
      <c r="Q643" s="114"/>
    </row>
    <row r="644" ht="15.75" customHeight="1">
      <c r="F644" s="109"/>
      <c r="M644" s="109"/>
      <c r="N644" s="109"/>
      <c r="O644" s="109"/>
      <c r="Q644" s="114"/>
    </row>
    <row r="645" ht="15.75" customHeight="1">
      <c r="F645" s="109"/>
      <c r="M645" s="109"/>
      <c r="N645" s="109"/>
      <c r="O645" s="109"/>
      <c r="Q645" s="114"/>
    </row>
    <row r="646" ht="15.75" customHeight="1">
      <c r="F646" s="109"/>
      <c r="M646" s="109"/>
      <c r="N646" s="109"/>
      <c r="O646" s="109"/>
      <c r="Q646" s="114"/>
    </row>
    <row r="647" ht="15.75" customHeight="1">
      <c r="F647" s="109"/>
      <c r="M647" s="109"/>
      <c r="N647" s="109"/>
      <c r="O647" s="109"/>
      <c r="Q647" s="114"/>
    </row>
    <row r="648" ht="15.75" customHeight="1">
      <c r="F648" s="109"/>
      <c r="M648" s="109"/>
      <c r="N648" s="109"/>
      <c r="O648" s="109"/>
      <c r="Q648" s="114"/>
    </row>
    <row r="649" ht="15.75" customHeight="1">
      <c r="F649" s="109"/>
      <c r="M649" s="109"/>
      <c r="N649" s="109"/>
      <c r="O649" s="109"/>
      <c r="Q649" s="114"/>
    </row>
    <row r="650" ht="15.75" customHeight="1">
      <c r="F650" s="109"/>
      <c r="M650" s="109"/>
      <c r="N650" s="109"/>
      <c r="O650" s="109"/>
      <c r="Q650" s="114"/>
    </row>
    <row r="651" ht="15.75" customHeight="1">
      <c r="F651" s="109"/>
      <c r="M651" s="109"/>
      <c r="N651" s="109"/>
      <c r="O651" s="109"/>
      <c r="Q651" s="114"/>
    </row>
    <row r="652" ht="15.75" customHeight="1">
      <c r="F652" s="109"/>
      <c r="M652" s="109"/>
      <c r="N652" s="109"/>
      <c r="O652" s="109"/>
      <c r="Q652" s="114"/>
    </row>
    <row r="653" ht="15.75" customHeight="1">
      <c r="F653" s="109"/>
      <c r="M653" s="109"/>
      <c r="N653" s="109"/>
      <c r="O653" s="109"/>
      <c r="Q653" s="114"/>
    </row>
    <row r="654" ht="15.75" customHeight="1">
      <c r="F654" s="109"/>
      <c r="M654" s="109"/>
      <c r="N654" s="109"/>
      <c r="O654" s="109"/>
      <c r="Q654" s="114"/>
    </row>
    <row r="655" ht="15.75" customHeight="1">
      <c r="F655" s="109"/>
      <c r="M655" s="109"/>
      <c r="N655" s="109"/>
      <c r="O655" s="109"/>
      <c r="Q655" s="114"/>
    </row>
    <row r="656" ht="15.75" customHeight="1">
      <c r="F656" s="109"/>
      <c r="M656" s="109"/>
      <c r="N656" s="109"/>
      <c r="O656" s="109"/>
      <c r="Q656" s="114"/>
    </row>
    <row r="657" ht="15.75" customHeight="1">
      <c r="F657" s="109"/>
      <c r="M657" s="109"/>
      <c r="N657" s="109"/>
      <c r="O657" s="109"/>
      <c r="Q657" s="114"/>
    </row>
    <row r="658" ht="15.75" customHeight="1">
      <c r="F658" s="109"/>
      <c r="M658" s="109"/>
      <c r="N658" s="109"/>
      <c r="O658" s="109"/>
      <c r="Q658" s="114"/>
    </row>
    <row r="659" ht="15.75" customHeight="1">
      <c r="F659" s="109"/>
      <c r="M659" s="109"/>
      <c r="N659" s="109"/>
      <c r="O659" s="109"/>
      <c r="Q659" s="114"/>
    </row>
    <row r="660" ht="15.75" customHeight="1">
      <c r="F660" s="109"/>
      <c r="M660" s="109"/>
      <c r="N660" s="109"/>
      <c r="O660" s="109"/>
      <c r="Q660" s="114"/>
    </row>
    <row r="661" ht="15.75" customHeight="1">
      <c r="F661" s="109"/>
      <c r="M661" s="109"/>
      <c r="N661" s="109"/>
      <c r="O661" s="109"/>
      <c r="Q661" s="114"/>
    </row>
    <row r="662" ht="15.75" customHeight="1">
      <c r="F662" s="109"/>
      <c r="M662" s="109"/>
      <c r="N662" s="109"/>
      <c r="O662" s="109"/>
      <c r="Q662" s="114"/>
    </row>
    <row r="663" ht="15.75" customHeight="1">
      <c r="F663" s="109"/>
      <c r="M663" s="109"/>
      <c r="N663" s="109"/>
      <c r="O663" s="109"/>
      <c r="Q663" s="114"/>
    </row>
    <row r="664" ht="15.75" customHeight="1">
      <c r="F664" s="109"/>
      <c r="M664" s="109"/>
      <c r="N664" s="109"/>
      <c r="O664" s="109"/>
      <c r="Q664" s="114"/>
    </row>
    <row r="665" ht="15.75" customHeight="1">
      <c r="F665" s="109"/>
      <c r="M665" s="109"/>
      <c r="N665" s="109"/>
      <c r="O665" s="109"/>
      <c r="Q665" s="114"/>
    </row>
    <row r="666" ht="15.75" customHeight="1">
      <c r="F666" s="109"/>
      <c r="M666" s="109"/>
      <c r="N666" s="109"/>
      <c r="O666" s="109"/>
      <c r="Q666" s="114"/>
    </row>
    <row r="667" ht="15.75" customHeight="1">
      <c r="F667" s="109"/>
      <c r="M667" s="109"/>
      <c r="N667" s="109"/>
      <c r="O667" s="109"/>
      <c r="Q667" s="114"/>
    </row>
    <row r="668" ht="15.75" customHeight="1">
      <c r="F668" s="109"/>
      <c r="M668" s="109"/>
      <c r="N668" s="109"/>
      <c r="O668" s="109"/>
      <c r="Q668" s="114"/>
    </row>
    <row r="669" ht="15.75" customHeight="1">
      <c r="F669" s="109"/>
      <c r="M669" s="109"/>
      <c r="N669" s="109"/>
      <c r="O669" s="109"/>
      <c r="Q669" s="114"/>
    </row>
    <row r="670" ht="15.75" customHeight="1">
      <c r="F670" s="109"/>
      <c r="M670" s="109"/>
      <c r="N670" s="109"/>
      <c r="O670" s="109"/>
      <c r="Q670" s="114"/>
    </row>
    <row r="671" ht="15.75" customHeight="1">
      <c r="F671" s="109"/>
      <c r="M671" s="109"/>
      <c r="N671" s="109"/>
      <c r="O671" s="109"/>
      <c r="Q671" s="114"/>
    </row>
    <row r="672" ht="15.75" customHeight="1">
      <c r="F672" s="109"/>
      <c r="M672" s="109"/>
      <c r="N672" s="109"/>
      <c r="O672" s="109"/>
      <c r="Q672" s="114"/>
    </row>
    <row r="673" ht="15.75" customHeight="1">
      <c r="F673" s="109"/>
      <c r="M673" s="109"/>
      <c r="N673" s="109"/>
      <c r="O673" s="109"/>
      <c r="Q673" s="114"/>
    </row>
    <row r="674" ht="15.75" customHeight="1">
      <c r="F674" s="109"/>
      <c r="M674" s="109"/>
      <c r="N674" s="109"/>
      <c r="O674" s="109"/>
      <c r="Q674" s="114"/>
    </row>
    <row r="675" ht="15.75" customHeight="1">
      <c r="F675" s="109"/>
      <c r="M675" s="109"/>
      <c r="N675" s="109"/>
      <c r="O675" s="109"/>
      <c r="Q675" s="114"/>
    </row>
    <row r="676" ht="15.75" customHeight="1">
      <c r="F676" s="109"/>
      <c r="M676" s="109"/>
      <c r="N676" s="109"/>
      <c r="O676" s="109"/>
      <c r="Q676" s="114"/>
    </row>
    <row r="677" ht="15.75" customHeight="1">
      <c r="F677" s="109"/>
      <c r="M677" s="109"/>
      <c r="N677" s="109"/>
      <c r="O677" s="109"/>
      <c r="Q677" s="114"/>
    </row>
    <row r="678" ht="15.75" customHeight="1">
      <c r="F678" s="109"/>
      <c r="M678" s="109"/>
      <c r="N678" s="109"/>
      <c r="O678" s="109"/>
      <c r="Q678" s="114"/>
    </row>
    <row r="679" ht="15.75" customHeight="1">
      <c r="F679" s="109"/>
      <c r="M679" s="109"/>
      <c r="N679" s="109"/>
      <c r="O679" s="109"/>
      <c r="Q679" s="114"/>
    </row>
    <row r="680" ht="15.75" customHeight="1">
      <c r="F680" s="109"/>
      <c r="M680" s="109"/>
      <c r="N680" s="109"/>
      <c r="O680" s="109"/>
      <c r="Q680" s="114"/>
    </row>
    <row r="681" ht="15.75" customHeight="1">
      <c r="F681" s="109"/>
      <c r="M681" s="109"/>
      <c r="N681" s="109"/>
      <c r="O681" s="109"/>
      <c r="Q681" s="114"/>
    </row>
    <row r="682" ht="15.75" customHeight="1">
      <c r="F682" s="109"/>
      <c r="M682" s="109"/>
      <c r="N682" s="109"/>
      <c r="O682" s="109"/>
      <c r="Q682" s="114"/>
    </row>
    <row r="683" ht="15.75" customHeight="1">
      <c r="F683" s="109"/>
      <c r="M683" s="109"/>
      <c r="N683" s="109"/>
      <c r="O683" s="109"/>
      <c r="Q683" s="114"/>
    </row>
    <row r="684" ht="15.75" customHeight="1">
      <c r="F684" s="109"/>
      <c r="M684" s="109"/>
      <c r="N684" s="109"/>
      <c r="O684" s="109"/>
      <c r="Q684" s="114"/>
    </row>
    <row r="685" ht="15.75" customHeight="1">
      <c r="F685" s="109"/>
      <c r="M685" s="109"/>
      <c r="N685" s="109"/>
      <c r="O685" s="109"/>
      <c r="Q685" s="114"/>
    </row>
    <row r="686" ht="15.75" customHeight="1">
      <c r="F686" s="109"/>
      <c r="M686" s="109"/>
      <c r="N686" s="109"/>
      <c r="O686" s="109"/>
      <c r="Q686" s="114"/>
    </row>
    <row r="687" ht="15.75" customHeight="1">
      <c r="F687" s="109"/>
      <c r="M687" s="109"/>
      <c r="N687" s="109"/>
      <c r="O687" s="109"/>
      <c r="Q687" s="114"/>
    </row>
    <row r="688" ht="15.75" customHeight="1">
      <c r="F688" s="109"/>
      <c r="M688" s="109"/>
      <c r="N688" s="109"/>
      <c r="O688" s="109"/>
      <c r="Q688" s="114"/>
    </row>
    <row r="689" ht="15.75" customHeight="1">
      <c r="F689" s="109"/>
      <c r="M689" s="109"/>
      <c r="N689" s="109"/>
      <c r="O689" s="109"/>
      <c r="Q689" s="114"/>
    </row>
    <row r="690" ht="15.75" customHeight="1">
      <c r="F690" s="109"/>
      <c r="M690" s="109"/>
      <c r="N690" s="109"/>
      <c r="O690" s="109"/>
      <c r="Q690" s="114"/>
    </row>
    <row r="691" ht="15.75" customHeight="1">
      <c r="F691" s="109"/>
      <c r="M691" s="109"/>
      <c r="N691" s="109"/>
      <c r="O691" s="109"/>
      <c r="Q691" s="114"/>
    </row>
    <row r="692" ht="15.75" customHeight="1">
      <c r="F692" s="109"/>
      <c r="M692" s="109"/>
      <c r="N692" s="109"/>
      <c r="O692" s="109"/>
      <c r="Q692" s="114"/>
    </row>
    <row r="693" ht="15.75" customHeight="1">
      <c r="F693" s="109"/>
      <c r="M693" s="109"/>
      <c r="N693" s="109"/>
      <c r="O693" s="109"/>
      <c r="Q693" s="114"/>
    </row>
    <row r="694" ht="15.75" customHeight="1">
      <c r="F694" s="109"/>
      <c r="M694" s="109"/>
      <c r="N694" s="109"/>
      <c r="O694" s="109"/>
      <c r="Q694" s="114"/>
    </row>
    <row r="695" ht="15.75" customHeight="1">
      <c r="F695" s="109"/>
      <c r="M695" s="109"/>
      <c r="N695" s="109"/>
      <c r="O695" s="109"/>
      <c r="Q695" s="114"/>
    </row>
    <row r="696" ht="15.75" customHeight="1">
      <c r="F696" s="109"/>
      <c r="M696" s="109"/>
      <c r="N696" s="109"/>
      <c r="O696" s="109"/>
      <c r="Q696" s="114"/>
    </row>
    <row r="697" ht="15.75" customHeight="1">
      <c r="F697" s="109"/>
      <c r="M697" s="109"/>
      <c r="N697" s="109"/>
      <c r="O697" s="109"/>
      <c r="Q697" s="114"/>
    </row>
    <row r="698" ht="15.75" customHeight="1">
      <c r="F698" s="109"/>
      <c r="M698" s="109"/>
      <c r="N698" s="109"/>
      <c r="O698" s="109"/>
      <c r="Q698" s="114"/>
    </row>
    <row r="699" ht="15.75" customHeight="1">
      <c r="F699" s="109"/>
      <c r="M699" s="109"/>
      <c r="N699" s="109"/>
      <c r="O699" s="109"/>
      <c r="Q699" s="114"/>
    </row>
    <row r="700" ht="15.75" customHeight="1">
      <c r="F700" s="109"/>
      <c r="M700" s="109"/>
      <c r="N700" s="109"/>
      <c r="O700" s="109"/>
      <c r="Q700" s="114"/>
    </row>
    <row r="701" ht="15.75" customHeight="1">
      <c r="F701" s="109"/>
      <c r="M701" s="109"/>
      <c r="N701" s="109"/>
      <c r="O701" s="109"/>
      <c r="Q701" s="114"/>
    </row>
    <row r="702" ht="15.75" customHeight="1">
      <c r="F702" s="109"/>
      <c r="M702" s="109"/>
      <c r="N702" s="109"/>
      <c r="O702" s="109"/>
      <c r="Q702" s="114"/>
    </row>
    <row r="703" ht="15.75" customHeight="1">
      <c r="F703" s="109"/>
      <c r="M703" s="109"/>
      <c r="N703" s="109"/>
      <c r="O703" s="109"/>
      <c r="Q703" s="114"/>
    </row>
    <row r="704" ht="15.75" customHeight="1">
      <c r="F704" s="109"/>
      <c r="M704" s="109"/>
      <c r="N704" s="109"/>
      <c r="O704" s="109"/>
      <c r="Q704" s="114"/>
    </row>
    <row r="705" ht="15.75" customHeight="1">
      <c r="F705" s="109"/>
      <c r="M705" s="109"/>
      <c r="N705" s="109"/>
      <c r="O705" s="109"/>
      <c r="Q705" s="114"/>
    </row>
    <row r="706" ht="15.75" customHeight="1">
      <c r="F706" s="109"/>
      <c r="M706" s="109"/>
      <c r="N706" s="109"/>
      <c r="O706" s="109"/>
      <c r="Q706" s="114"/>
    </row>
    <row r="707" ht="15.75" customHeight="1">
      <c r="F707" s="109"/>
      <c r="M707" s="109"/>
      <c r="N707" s="109"/>
      <c r="O707" s="109"/>
      <c r="Q707" s="114"/>
    </row>
    <row r="708" ht="15.75" customHeight="1">
      <c r="F708" s="109"/>
      <c r="M708" s="109"/>
      <c r="N708" s="109"/>
      <c r="O708" s="109"/>
      <c r="Q708" s="114"/>
    </row>
    <row r="709" ht="15.75" customHeight="1">
      <c r="F709" s="109"/>
      <c r="M709" s="109"/>
      <c r="N709" s="109"/>
      <c r="O709" s="109"/>
      <c r="Q709" s="114"/>
    </row>
    <row r="710" ht="15.75" customHeight="1">
      <c r="F710" s="109"/>
      <c r="M710" s="109"/>
      <c r="N710" s="109"/>
      <c r="O710" s="109"/>
      <c r="Q710" s="114"/>
    </row>
    <row r="711" ht="15.75" customHeight="1">
      <c r="F711" s="109"/>
      <c r="M711" s="109"/>
      <c r="N711" s="109"/>
      <c r="O711" s="109"/>
      <c r="Q711" s="114"/>
    </row>
    <row r="712" ht="15.75" customHeight="1">
      <c r="F712" s="109"/>
      <c r="M712" s="109"/>
      <c r="N712" s="109"/>
      <c r="O712" s="109"/>
      <c r="Q712" s="114"/>
    </row>
    <row r="713" ht="15.75" customHeight="1">
      <c r="F713" s="109"/>
      <c r="M713" s="109"/>
      <c r="N713" s="109"/>
      <c r="O713" s="109"/>
      <c r="Q713" s="114"/>
    </row>
    <row r="714" ht="15.75" customHeight="1">
      <c r="F714" s="109"/>
      <c r="M714" s="109"/>
      <c r="N714" s="109"/>
      <c r="O714" s="109"/>
      <c r="Q714" s="114"/>
    </row>
    <row r="715" ht="15.75" customHeight="1">
      <c r="F715" s="109"/>
      <c r="M715" s="109"/>
      <c r="N715" s="109"/>
      <c r="O715" s="109"/>
      <c r="Q715" s="114"/>
    </row>
    <row r="716" ht="15.75" customHeight="1">
      <c r="F716" s="109"/>
      <c r="M716" s="109"/>
      <c r="N716" s="109"/>
      <c r="O716" s="109"/>
      <c r="Q716" s="114"/>
    </row>
    <row r="717" ht="15.75" customHeight="1">
      <c r="F717" s="109"/>
      <c r="M717" s="109"/>
      <c r="N717" s="109"/>
      <c r="O717" s="109"/>
      <c r="Q717" s="114"/>
    </row>
    <row r="718" ht="15.75" customHeight="1">
      <c r="F718" s="109"/>
      <c r="M718" s="109"/>
      <c r="N718" s="109"/>
      <c r="O718" s="109"/>
      <c r="Q718" s="114"/>
    </row>
    <row r="719" ht="15.75" customHeight="1">
      <c r="F719" s="109"/>
      <c r="M719" s="109"/>
      <c r="N719" s="109"/>
      <c r="O719" s="109"/>
      <c r="Q719" s="114"/>
    </row>
    <row r="720" ht="15.75" customHeight="1">
      <c r="F720" s="109"/>
      <c r="M720" s="109"/>
      <c r="N720" s="109"/>
      <c r="O720" s="109"/>
      <c r="Q720" s="114"/>
    </row>
    <row r="721" ht="15.75" customHeight="1">
      <c r="F721" s="109"/>
      <c r="M721" s="109"/>
      <c r="N721" s="109"/>
      <c r="O721" s="109"/>
      <c r="Q721" s="114"/>
    </row>
    <row r="722" ht="15.75" customHeight="1">
      <c r="F722" s="109"/>
      <c r="M722" s="109"/>
      <c r="N722" s="109"/>
      <c r="O722" s="109"/>
      <c r="Q722" s="114"/>
    </row>
    <row r="723" ht="15.75" customHeight="1">
      <c r="F723" s="109"/>
      <c r="M723" s="109"/>
      <c r="N723" s="109"/>
      <c r="O723" s="109"/>
      <c r="Q723" s="114"/>
    </row>
    <row r="724" ht="15.75" customHeight="1">
      <c r="F724" s="109"/>
      <c r="M724" s="109"/>
      <c r="N724" s="109"/>
      <c r="O724" s="109"/>
      <c r="Q724" s="114"/>
    </row>
    <row r="725" ht="15.75" customHeight="1">
      <c r="F725" s="109"/>
      <c r="M725" s="109"/>
      <c r="N725" s="109"/>
      <c r="O725" s="109"/>
      <c r="Q725" s="114"/>
    </row>
    <row r="726" ht="15.75" customHeight="1">
      <c r="F726" s="109"/>
      <c r="M726" s="109"/>
      <c r="N726" s="109"/>
      <c r="O726" s="109"/>
      <c r="Q726" s="114"/>
    </row>
    <row r="727" ht="15.75" customHeight="1">
      <c r="F727" s="109"/>
      <c r="M727" s="109"/>
      <c r="N727" s="109"/>
      <c r="O727" s="109"/>
      <c r="Q727" s="114"/>
    </row>
    <row r="728" ht="15.75" customHeight="1">
      <c r="F728" s="109"/>
      <c r="M728" s="109"/>
      <c r="N728" s="109"/>
      <c r="O728" s="109"/>
      <c r="Q728" s="114"/>
    </row>
    <row r="729" ht="15.75" customHeight="1">
      <c r="F729" s="109"/>
      <c r="M729" s="109"/>
      <c r="N729" s="109"/>
      <c r="O729" s="109"/>
      <c r="Q729" s="114"/>
    </row>
    <row r="730" ht="15.75" customHeight="1">
      <c r="F730" s="109"/>
      <c r="M730" s="109"/>
      <c r="N730" s="109"/>
      <c r="O730" s="109"/>
      <c r="Q730" s="114"/>
    </row>
    <row r="731" ht="15.75" customHeight="1">
      <c r="F731" s="109"/>
      <c r="M731" s="109"/>
      <c r="N731" s="109"/>
      <c r="O731" s="109"/>
      <c r="Q731" s="114"/>
    </row>
    <row r="732" ht="15.75" customHeight="1">
      <c r="F732" s="109"/>
      <c r="M732" s="109"/>
      <c r="N732" s="109"/>
      <c r="O732" s="109"/>
      <c r="Q732" s="114"/>
    </row>
    <row r="733" ht="15.75" customHeight="1">
      <c r="F733" s="109"/>
      <c r="M733" s="109"/>
      <c r="N733" s="109"/>
      <c r="O733" s="109"/>
      <c r="Q733" s="114"/>
    </row>
    <row r="734" ht="15.75" customHeight="1">
      <c r="F734" s="109"/>
      <c r="M734" s="109"/>
      <c r="N734" s="109"/>
      <c r="O734" s="109"/>
      <c r="Q734" s="114"/>
    </row>
    <row r="735" ht="15.75" customHeight="1">
      <c r="F735" s="109"/>
      <c r="M735" s="109"/>
      <c r="N735" s="109"/>
      <c r="O735" s="109"/>
      <c r="Q735" s="114"/>
    </row>
    <row r="736" ht="15.75" customHeight="1">
      <c r="F736" s="109"/>
      <c r="M736" s="109"/>
      <c r="N736" s="109"/>
      <c r="O736" s="109"/>
      <c r="Q736" s="114"/>
    </row>
    <row r="737" ht="15.75" customHeight="1">
      <c r="F737" s="109"/>
      <c r="M737" s="109"/>
      <c r="N737" s="109"/>
      <c r="O737" s="109"/>
      <c r="Q737" s="114"/>
    </row>
    <row r="738" ht="15.75" customHeight="1">
      <c r="F738" s="109"/>
      <c r="M738" s="109"/>
      <c r="N738" s="109"/>
      <c r="O738" s="109"/>
      <c r="Q738" s="114"/>
    </row>
    <row r="739" ht="15.75" customHeight="1">
      <c r="F739" s="109"/>
      <c r="M739" s="109"/>
      <c r="N739" s="109"/>
      <c r="O739" s="109"/>
      <c r="Q739" s="114"/>
    </row>
    <row r="740" ht="15.75" customHeight="1">
      <c r="F740" s="109"/>
      <c r="M740" s="109"/>
      <c r="N740" s="109"/>
      <c r="O740" s="109"/>
      <c r="Q740" s="114"/>
    </row>
    <row r="741" ht="15.75" customHeight="1">
      <c r="F741" s="109"/>
      <c r="M741" s="109"/>
      <c r="N741" s="109"/>
      <c r="O741" s="109"/>
      <c r="Q741" s="114"/>
    </row>
    <row r="742" ht="15.75" customHeight="1">
      <c r="F742" s="109"/>
      <c r="M742" s="109"/>
      <c r="N742" s="109"/>
      <c r="O742" s="109"/>
      <c r="Q742" s="114"/>
    </row>
    <row r="743" ht="15.75" customHeight="1">
      <c r="F743" s="109"/>
      <c r="M743" s="109"/>
      <c r="N743" s="109"/>
      <c r="O743" s="109"/>
      <c r="Q743" s="114"/>
    </row>
    <row r="744" ht="15.75" customHeight="1">
      <c r="F744" s="109"/>
      <c r="M744" s="109"/>
      <c r="N744" s="109"/>
      <c r="O744" s="109"/>
      <c r="Q744" s="114"/>
    </row>
    <row r="745" ht="15.75" customHeight="1">
      <c r="F745" s="109"/>
      <c r="M745" s="109"/>
      <c r="N745" s="109"/>
      <c r="O745" s="109"/>
      <c r="Q745" s="114"/>
    </row>
    <row r="746" ht="15.75" customHeight="1">
      <c r="F746" s="109"/>
      <c r="M746" s="109"/>
      <c r="N746" s="109"/>
      <c r="O746" s="109"/>
      <c r="Q746" s="114"/>
    </row>
    <row r="747" ht="15.75" customHeight="1">
      <c r="F747" s="109"/>
      <c r="M747" s="109"/>
      <c r="N747" s="109"/>
      <c r="O747" s="109"/>
      <c r="Q747" s="114"/>
    </row>
    <row r="748" ht="15.75" customHeight="1">
      <c r="F748" s="109"/>
      <c r="M748" s="109"/>
      <c r="N748" s="109"/>
      <c r="O748" s="109"/>
      <c r="Q748" s="114"/>
    </row>
    <row r="749" ht="15.75" customHeight="1">
      <c r="F749" s="109"/>
      <c r="M749" s="109"/>
      <c r="N749" s="109"/>
      <c r="O749" s="109"/>
      <c r="Q749" s="114"/>
    </row>
    <row r="750" ht="15.75" customHeight="1">
      <c r="F750" s="109"/>
      <c r="M750" s="109"/>
      <c r="N750" s="109"/>
      <c r="O750" s="109"/>
      <c r="Q750" s="114"/>
    </row>
    <row r="751" ht="15.75" customHeight="1">
      <c r="F751" s="109"/>
      <c r="M751" s="109"/>
      <c r="N751" s="109"/>
      <c r="O751" s="109"/>
      <c r="Q751" s="114"/>
    </row>
    <row r="752" ht="15.75" customHeight="1">
      <c r="F752" s="109"/>
      <c r="M752" s="109"/>
      <c r="N752" s="109"/>
      <c r="O752" s="109"/>
      <c r="Q752" s="114"/>
    </row>
    <row r="753" ht="15.75" customHeight="1">
      <c r="F753" s="109"/>
      <c r="M753" s="109"/>
      <c r="N753" s="109"/>
      <c r="O753" s="109"/>
      <c r="Q753" s="114"/>
    </row>
    <row r="754" ht="15.75" customHeight="1">
      <c r="F754" s="109"/>
      <c r="M754" s="109"/>
      <c r="N754" s="109"/>
      <c r="O754" s="109"/>
      <c r="Q754" s="114"/>
    </row>
    <row r="755" ht="15.75" customHeight="1">
      <c r="F755" s="109"/>
      <c r="M755" s="109"/>
      <c r="N755" s="109"/>
      <c r="O755" s="109"/>
      <c r="Q755" s="114"/>
    </row>
    <row r="756" ht="15.75" customHeight="1">
      <c r="F756" s="109"/>
      <c r="M756" s="109"/>
      <c r="N756" s="109"/>
      <c r="O756" s="109"/>
      <c r="Q756" s="114"/>
    </row>
    <row r="757" ht="15.75" customHeight="1">
      <c r="F757" s="109"/>
      <c r="M757" s="109"/>
      <c r="N757" s="109"/>
      <c r="O757" s="109"/>
      <c r="Q757" s="114"/>
    </row>
    <row r="758" ht="15.75" customHeight="1">
      <c r="F758" s="109"/>
      <c r="M758" s="109"/>
      <c r="N758" s="109"/>
      <c r="O758" s="109"/>
      <c r="Q758" s="114"/>
    </row>
    <row r="759" ht="15.75" customHeight="1">
      <c r="F759" s="109"/>
      <c r="M759" s="109"/>
      <c r="N759" s="109"/>
      <c r="O759" s="109"/>
      <c r="Q759" s="114"/>
    </row>
    <row r="760" ht="15.75" customHeight="1">
      <c r="F760" s="109"/>
      <c r="M760" s="109"/>
      <c r="N760" s="109"/>
      <c r="O760" s="109"/>
      <c r="Q760" s="114"/>
    </row>
    <row r="761" ht="15.75" customHeight="1">
      <c r="F761" s="109"/>
      <c r="M761" s="109"/>
      <c r="N761" s="109"/>
      <c r="O761" s="109"/>
      <c r="Q761" s="114"/>
    </row>
    <row r="762" ht="15.75" customHeight="1">
      <c r="F762" s="109"/>
      <c r="M762" s="109"/>
      <c r="N762" s="109"/>
      <c r="O762" s="109"/>
      <c r="Q762" s="114"/>
    </row>
    <row r="763" ht="15.75" customHeight="1">
      <c r="F763" s="109"/>
      <c r="M763" s="109"/>
      <c r="N763" s="109"/>
      <c r="O763" s="109"/>
      <c r="Q763" s="114"/>
    </row>
    <row r="764" ht="15.75" customHeight="1">
      <c r="F764" s="109"/>
      <c r="M764" s="109"/>
      <c r="N764" s="109"/>
      <c r="O764" s="109"/>
      <c r="Q764" s="114"/>
    </row>
    <row r="765" ht="15.75" customHeight="1">
      <c r="F765" s="109"/>
      <c r="M765" s="109"/>
      <c r="N765" s="109"/>
      <c r="O765" s="109"/>
      <c r="Q765" s="114"/>
    </row>
    <row r="766" ht="15.75" customHeight="1">
      <c r="F766" s="109"/>
      <c r="M766" s="109"/>
      <c r="N766" s="109"/>
      <c r="O766" s="109"/>
      <c r="Q766" s="114"/>
    </row>
    <row r="767" ht="15.75" customHeight="1">
      <c r="F767" s="109"/>
      <c r="M767" s="109"/>
      <c r="N767" s="109"/>
      <c r="O767" s="109"/>
      <c r="Q767" s="114"/>
    </row>
    <row r="768" ht="15.75" customHeight="1">
      <c r="F768" s="109"/>
      <c r="M768" s="109"/>
      <c r="N768" s="109"/>
      <c r="O768" s="109"/>
      <c r="Q768" s="114"/>
    </row>
    <row r="769" ht="15.75" customHeight="1">
      <c r="F769" s="109"/>
      <c r="M769" s="109"/>
      <c r="N769" s="109"/>
      <c r="O769" s="109"/>
      <c r="Q769" s="114"/>
    </row>
    <row r="770" ht="15.75" customHeight="1">
      <c r="F770" s="109"/>
      <c r="M770" s="109"/>
      <c r="N770" s="109"/>
      <c r="O770" s="109"/>
      <c r="Q770" s="114"/>
    </row>
    <row r="771" ht="15.75" customHeight="1">
      <c r="F771" s="109"/>
      <c r="M771" s="109"/>
      <c r="N771" s="109"/>
      <c r="O771" s="109"/>
      <c r="Q771" s="114"/>
    </row>
    <row r="772" ht="15.75" customHeight="1">
      <c r="F772" s="109"/>
      <c r="M772" s="109"/>
      <c r="N772" s="109"/>
      <c r="O772" s="109"/>
      <c r="Q772" s="114"/>
    </row>
    <row r="773" ht="15.75" customHeight="1">
      <c r="F773" s="109"/>
      <c r="M773" s="109"/>
      <c r="N773" s="109"/>
      <c r="O773" s="109"/>
      <c r="Q773" s="114"/>
    </row>
    <row r="774" ht="15.75" customHeight="1">
      <c r="F774" s="109"/>
      <c r="M774" s="109"/>
      <c r="N774" s="109"/>
      <c r="O774" s="109"/>
      <c r="Q774" s="114"/>
    </row>
    <row r="775" ht="15.75" customHeight="1">
      <c r="F775" s="109"/>
      <c r="M775" s="109"/>
      <c r="N775" s="109"/>
      <c r="O775" s="109"/>
      <c r="Q775" s="114"/>
    </row>
    <row r="776" ht="15.75" customHeight="1">
      <c r="F776" s="109"/>
      <c r="M776" s="109"/>
      <c r="N776" s="109"/>
      <c r="O776" s="109"/>
      <c r="Q776" s="114"/>
    </row>
    <row r="777" ht="15.75" customHeight="1">
      <c r="F777" s="109"/>
      <c r="M777" s="109"/>
      <c r="N777" s="109"/>
      <c r="O777" s="109"/>
      <c r="Q777" s="114"/>
    </row>
    <row r="778" ht="15.75" customHeight="1">
      <c r="F778" s="109"/>
      <c r="M778" s="109"/>
      <c r="N778" s="109"/>
      <c r="O778" s="109"/>
      <c r="Q778" s="114"/>
    </row>
    <row r="779" ht="15.75" customHeight="1">
      <c r="F779" s="109"/>
      <c r="M779" s="109"/>
      <c r="N779" s="109"/>
      <c r="O779" s="109"/>
      <c r="Q779" s="114"/>
    </row>
    <row r="780" ht="15.75" customHeight="1">
      <c r="F780" s="109"/>
      <c r="M780" s="109"/>
      <c r="N780" s="109"/>
      <c r="O780" s="109"/>
      <c r="Q780" s="114"/>
    </row>
    <row r="781" ht="15.75" customHeight="1">
      <c r="F781" s="109"/>
      <c r="M781" s="109"/>
      <c r="N781" s="109"/>
      <c r="O781" s="109"/>
      <c r="Q781" s="114"/>
    </row>
    <row r="782" ht="15.75" customHeight="1">
      <c r="F782" s="109"/>
      <c r="M782" s="109"/>
      <c r="N782" s="109"/>
      <c r="O782" s="109"/>
      <c r="Q782" s="114"/>
    </row>
    <row r="783" ht="15.75" customHeight="1">
      <c r="F783" s="109"/>
      <c r="M783" s="109"/>
      <c r="N783" s="109"/>
      <c r="O783" s="109"/>
      <c r="Q783" s="114"/>
    </row>
    <row r="784" ht="15.75" customHeight="1">
      <c r="F784" s="109"/>
      <c r="M784" s="109"/>
      <c r="N784" s="109"/>
      <c r="O784" s="109"/>
      <c r="Q784" s="114"/>
    </row>
    <row r="785" ht="15.75" customHeight="1">
      <c r="F785" s="109"/>
      <c r="M785" s="109"/>
      <c r="N785" s="109"/>
      <c r="O785" s="109"/>
      <c r="Q785" s="114"/>
    </row>
    <row r="786" ht="15.75" customHeight="1">
      <c r="F786" s="109"/>
      <c r="M786" s="109"/>
      <c r="N786" s="109"/>
      <c r="O786" s="109"/>
      <c r="Q786" s="114"/>
    </row>
    <row r="787" ht="15.75" customHeight="1">
      <c r="F787" s="109"/>
      <c r="M787" s="109"/>
      <c r="N787" s="109"/>
      <c r="O787" s="109"/>
      <c r="Q787" s="114"/>
    </row>
    <row r="788" ht="15.75" customHeight="1">
      <c r="F788" s="109"/>
      <c r="M788" s="109"/>
      <c r="N788" s="109"/>
      <c r="O788" s="109"/>
      <c r="Q788" s="114"/>
    </row>
    <row r="789" ht="15.75" customHeight="1">
      <c r="F789" s="109"/>
      <c r="M789" s="109"/>
      <c r="N789" s="109"/>
      <c r="O789" s="109"/>
      <c r="Q789" s="114"/>
    </row>
    <row r="790" ht="15.75" customHeight="1">
      <c r="F790" s="109"/>
      <c r="M790" s="109"/>
      <c r="N790" s="109"/>
      <c r="O790" s="109"/>
      <c r="Q790" s="114"/>
    </row>
    <row r="791" ht="15.75" customHeight="1">
      <c r="F791" s="109"/>
      <c r="M791" s="109"/>
      <c r="N791" s="109"/>
      <c r="O791" s="109"/>
      <c r="Q791" s="114"/>
    </row>
    <row r="792" ht="15.75" customHeight="1">
      <c r="F792" s="109"/>
      <c r="M792" s="109"/>
      <c r="N792" s="109"/>
      <c r="O792" s="109"/>
      <c r="Q792" s="114"/>
    </row>
    <row r="793" ht="15.75" customHeight="1">
      <c r="F793" s="109"/>
      <c r="M793" s="109"/>
      <c r="N793" s="109"/>
      <c r="O793" s="109"/>
      <c r="Q793" s="114"/>
    </row>
    <row r="794" ht="15.75" customHeight="1">
      <c r="F794" s="109"/>
      <c r="M794" s="109"/>
      <c r="N794" s="109"/>
      <c r="O794" s="109"/>
      <c r="Q794" s="114"/>
    </row>
    <row r="795" ht="15.75" customHeight="1">
      <c r="F795" s="109"/>
      <c r="M795" s="109"/>
      <c r="N795" s="109"/>
      <c r="O795" s="109"/>
      <c r="Q795" s="114"/>
    </row>
    <row r="796" ht="15.75" customHeight="1">
      <c r="F796" s="109"/>
      <c r="M796" s="109"/>
      <c r="N796" s="109"/>
      <c r="O796" s="109"/>
      <c r="Q796" s="114"/>
    </row>
    <row r="797" ht="15.75" customHeight="1">
      <c r="F797" s="109"/>
      <c r="M797" s="109"/>
      <c r="N797" s="109"/>
      <c r="O797" s="109"/>
      <c r="Q797" s="114"/>
    </row>
    <row r="798" ht="15.75" customHeight="1">
      <c r="F798" s="109"/>
      <c r="M798" s="109"/>
      <c r="N798" s="109"/>
      <c r="O798" s="109"/>
      <c r="Q798" s="114"/>
    </row>
    <row r="799" ht="15.75" customHeight="1">
      <c r="F799" s="109"/>
      <c r="M799" s="109"/>
      <c r="N799" s="109"/>
      <c r="O799" s="109"/>
      <c r="Q799" s="114"/>
    </row>
    <row r="800" ht="15.75" customHeight="1">
      <c r="F800" s="109"/>
      <c r="M800" s="109"/>
      <c r="N800" s="109"/>
      <c r="O800" s="109"/>
      <c r="Q800" s="114"/>
    </row>
    <row r="801" ht="15.75" customHeight="1">
      <c r="F801" s="109"/>
      <c r="M801" s="109"/>
      <c r="N801" s="109"/>
      <c r="O801" s="109"/>
      <c r="Q801" s="114"/>
    </row>
    <row r="802" ht="15.75" customHeight="1">
      <c r="F802" s="109"/>
      <c r="M802" s="109"/>
      <c r="N802" s="109"/>
      <c r="O802" s="109"/>
      <c r="Q802" s="114"/>
    </row>
    <row r="803" ht="15.75" customHeight="1">
      <c r="F803" s="109"/>
      <c r="M803" s="109"/>
      <c r="N803" s="109"/>
      <c r="O803" s="109"/>
      <c r="Q803" s="114"/>
    </row>
    <row r="804" ht="15.75" customHeight="1">
      <c r="F804" s="109"/>
      <c r="M804" s="109"/>
      <c r="N804" s="109"/>
      <c r="O804" s="109"/>
      <c r="Q804" s="114"/>
    </row>
    <row r="805" ht="15.75" customHeight="1">
      <c r="F805" s="109"/>
      <c r="M805" s="109"/>
      <c r="N805" s="109"/>
      <c r="O805" s="109"/>
      <c r="Q805" s="114"/>
    </row>
    <row r="806" ht="15.75" customHeight="1">
      <c r="F806" s="109"/>
      <c r="M806" s="109"/>
      <c r="N806" s="109"/>
      <c r="O806" s="109"/>
      <c r="Q806" s="114"/>
    </row>
    <row r="807" ht="15.75" customHeight="1">
      <c r="F807" s="109"/>
      <c r="M807" s="109"/>
      <c r="N807" s="109"/>
      <c r="O807" s="109"/>
      <c r="Q807" s="114"/>
    </row>
    <row r="808" ht="15.75" customHeight="1">
      <c r="F808" s="109"/>
      <c r="M808" s="109"/>
      <c r="N808" s="109"/>
      <c r="O808" s="109"/>
      <c r="Q808" s="114"/>
    </row>
    <row r="809" ht="15.75" customHeight="1">
      <c r="F809" s="109"/>
      <c r="M809" s="109"/>
      <c r="N809" s="109"/>
      <c r="O809" s="109"/>
      <c r="Q809" s="114"/>
    </row>
    <row r="810" ht="15.75" customHeight="1">
      <c r="F810" s="109"/>
      <c r="M810" s="109"/>
      <c r="N810" s="109"/>
      <c r="O810" s="109"/>
      <c r="Q810" s="114"/>
    </row>
    <row r="811" ht="15.75" customHeight="1">
      <c r="F811" s="109"/>
      <c r="M811" s="109"/>
      <c r="N811" s="109"/>
      <c r="O811" s="109"/>
      <c r="Q811" s="114"/>
    </row>
    <row r="812" ht="15.75" customHeight="1">
      <c r="F812" s="109"/>
      <c r="M812" s="109"/>
      <c r="N812" s="109"/>
      <c r="O812" s="109"/>
      <c r="Q812" s="114"/>
    </row>
    <row r="813" ht="15.75" customHeight="1">
      <c r="F813" s="109"/>
      <c r="M813" s="109"/>
      <c r="N813" s="109"/>
      <c r="O813" s="109"/>
      <c r="Q813" s="114"/>
    </row>
    <row r="814" ht="15.75" customHeight="1">
      <c r="F814" s="109"/>
      <c r="M814" s="109"/>
      <c r="N814" s="109"/>
      <c r="O814" s="109"/>
      <c r="Q814" s="114"/>
    </row>
    <row r="815" ht="15.75" customHeight="1">
      <c r="F815" s="109"/>
      <c r="M815" s="109"/>
      <c r="N815" s="109"/>
      <c r="O815" s="109"/>
      <c r="Q815" s="114"/>
    </row>
    <row r="816" ht="15.75" customHeight="1">
      <c r="F816" s="109"/>
      <c r="M816" s="109"/>
      <c r="N816" s="109"/>
      <c r="O816" s="109"/>
      <c r="Q816" s="114"/>
    </row>
    <row r="817" ht="15.75" customHeight="1">
      <c r="F817" s="109"/>
      <c r="M817" s="109"/>
      <c r="N817" s="109"/>
      <c r="O817" s="109"/>
      <c r="Q817" s="114"/>
    </row>
    <row r="818" ht="15.75" customHeight="1">
      <c r="F818" s="109"/>
      <c r="M818" s="109"/>
      <c r="N818" s="109"/>
      <c r="O818" s="109"/>
      <c r="Q818" s="114"/>
    </row>
    <row r="819" ht="15.75" customHeight="1">
      <c r="F819" s="109"/>
      <c r="M819" s="109"/>
      <c r="N819" s="109"/>
      <c r="O819" s="109"/>
      <c r="Q819" s="114"/>
    </row>
    <row r="820" ht="15.75" customHeight="1">
      <c r="F820" s="109"/>
      <c r="M820" s="109"/>
      <c r="N820" s="109"/>
      <c r="O820" s="109"/>
      <c r="Q820" s="114"/>
    </row>
    <row r="821" ht="15.75" customHeight="1">
      <c r="F821" s="109"/>
      <c r="M821" s="109"/>
      <c r="N821" s="109"/>
      <c r="O821" s="109"/>
      <c r="Q821" s="114"/>
    </row>
    <row r="822" ht="15.75" customHeight="1">
      <c r="F822" s="109"/>
      <c r="M822" s="109"/>
      <c r="N822" s="109"/>
      <c r="O822" s="109"/>
      <c r="Q822" s="114"/>
    </row>
    <row r="823" ht="15.75" customHeight="1">
      <c r="F823" s="109"/>
      <c r="M823" s="109"/>
      <c r="N823" s="109"/>
      <c r="O823" s="109"/>
      <c r="Q823" s="114"/>
    </row>
    <row r="824" ht="15.75" customHeight="1">
      <c r="F824" s="109"/>
      <c r="M824" s="109"/>
      <c r="N824" s="109"/>
      <c r="O824" s="109"/>
      <c r="Q824" s="114"/>
    </row>
    <row r="825" ht="15.75" customHeight="1">
      <c r="F825" s="109"/>
      <c r="M825" s="109"/>
      <c r="N825" s="109"/>
      <c r="O825" s="109"/>
      <c r="Q825" s="114"/>
    </row>
    <row r="826" ht="15.75" customHeight="1">
      <c r="F826" s="109"/>
      <c r="M826" s="109"/>
      <c r="N826" s="109"/>
      <c r="O826" s="109"/>
      <c r="Q826" s="114"/>
    </row>
    <row r="827" ht="15.75" customHeight="1">
      <c r="F827" s="109"/>
      <c r="M827" s="109"/>
      <c r="N827" s="109"/>
      <c r="O827" s="109"/>
      <c r="Q827" s="114"/>
    </row>
    <row r="828" ht="15.75" customHeight="1">
      <c r="F828" s="109"/>
      <c r="M828" s="109"/>
      <c r="N828" s="109"/>
      <c r="O828" s="109"/>
      <c r="Q828" s="114"/>
    </row>
    <row r="829" ht="15.75" customHeight="1">
      <c r="F829" s="109"/>
      <c r="M829" s="109"/>
      <c r="N829" s="109"/>
      <c r="O829" s="109"/>
      <c r="Q829" s="114"/>
    </row>
    <row r="830" ht="15.75" customHeight="1">
      <c r="F830" s="109"/>
      <c r="M830" s="109"/>
      <c r="N830" s="109"/>
      <c r="O830" s="109"/>
      <c r="Q830" s="114"/>
    </row>
    <row r="831" ht="15.75" customHeight="1">
      <c r="F831" s="109"/>
      <c r="M831" s="109"/>
      <c r="N831" s="109"/>
      <c r="O831" s="109"/>
      <c r="Q831" s="114"/>
    </row>
    <row r="832" ht="15.75" customHeight="1">
      <c r="F832" s="109"/>
      <c r="M832" s="109"/>
      <c r="N832" s="109"/>
      <c r="O832" s="109"/>
      <c r="Q832" s="114"/>
    </row>
    <row r="833" ht="15.75" customHeight="1">
      <c r="F833" s="109"/>
      <c r="M833" s="109"/>
      <c r="N833" s="109"/>
      <c r="O833" s="109"/>
      <c r="Q833" s="114"/>
    </row>
    <row r="834" ht="15.75" customHeight="1">
      <c r="F834" s="109"/>
      <c r="M834" s="109"/>
      <c r="N834" s="109"/>
      <c r="O834" s="109"/>
      <c r="Q834" s="114"/>
    </row>
    <row r="835" ht="15.75" customHeight="1">
      <c r="F835" s="109"/>
      <c r="M835" s="109"/>
      <c r="N835" s="109"/>
      <c r="O835" s="109"/>
      <c r="Q835" s="114"/>
    </row>
    <row r="836" ht="15.75" customHeight="1">
      <c r="F836" s="109"/>
      <c r="M836" s="109"/>
      <c r="N836" s="109"/>
      <c r="O836" s="109"/>
      <c r="Q836" s="114"/>
    </row>
    <row r="837" ht="15.75" customHeight="1">
      <c r="F837" s="109"/>
      <c r="M837" s="109"/>
      <c r="N837" s="109"/>
      <c r="O837" s="109"/>
      <c r="Q837" s="114"/>
    </row>
    <row r="838" ht="15.75" customHeight="1">
      <c r="F838" s="109"/>
      <c r="M838" s="109"/>
      <c r="N838" s="109"/>
      <c r="O838" s="109"/>
      <c r="Q838" s="114"/>
    </row>
    <row r="839" ht="15.75" customHeight="1">
      <c r="F839" s="109"/>
      <c r="M839" s="109"/>
      <c r="N839" s="109"/>
      <c r="O839" s="109"/>
      <c r="Q839" s="114"/>
    </row>
    <row r="840" ht="15.75" customHeight="1">
      <c r="F840" s="109"/>
      <c r="M840" s="109"/>
      <c r="N840" s="109"/>
      <c r="O840" s="109"/>
      <c r="Q840" s="114"/>
    </row>
    <row r="841" ht="15.75" customHeight="1">
      <c r="F841" s="109"/>
      <c r="M841" s="109"/>
      <c r="N841" s="109"/>
      <c r="O841" s="109"/>
      <c r="Q841" s="114"/>
    </row>
    <row r="842" ht="15.75" customHeight="1">
      <c r="F842" s="109"/>
      <c r="M842" s="109"/>
      <c r="N842" s="109"/>
      <c r="O842" s="109"/>
      <c r="Q842" s="114"/>
    </row>
    <row r="843" ht="15.75" customHeight="1">
      <c r="F843" s="109"/>
      <c r="M843" s="109"/>
      <c r="N843" s="109"/>
      <c r="O843" s="109"/>
      <c r="Q843" s="114"/>
    </row>
    <row r="844" ht="15.75" customHeight="1">
      <c r="F844" s="109"/>
      <c r="M844" s="109"/>
      <c r="N844" s="109"/>
      <c r="O844" s="109"/>
      <c r="Q844" s="114"/>
    </row>
    <row r="845" ht="15.75" customHeight="1">
      <c r="F845" s="109"/>
      <c r="M845" s="109"/>
      <c r="N845" s="109"/>
      <c r="O845" s="109"/>
      <c r="Q845" s="114"/>
    </row>
    <row r="846" ht="15.75" customHeight="1">
      <c r="F846" s="109"/>
      <c r="M846" s="109"/>
      <c r="N846" s="109"/>
      <c r="O846" s="109"/>
      <c r="Q846" s="114"/>
    </row>
    <row r="847" ht="15.75" customHeight="1">
      <c r="F847" s="109"/>
      <c r="M847" s="109"/>
      <c r="N847" s="109"/>
      <c r="O847" s="109"/>
      <c r="Q847" s="114"/>
    </row>
    <row r="848" ht="15.75" customHeight="1">
      <c r="F848" s="109"/>
      <c r="M848" s="109"/>
      <c r="N848" s="109"/>
      <c r="O848" s="109"/>
      <c r="Q848" s="114"/>
    </row>
    <row r="849" ht="15.75" customHeight="1">
      <c r="F849" s="109"/>
      <c r="M849" s="109"/>
      <c r="N849" s="109"/>
      <c r="O849" s="109"/>
      <c r="Q849" s="114"/>
    </row>
    <row r="850" ht="15.75" customHeight="1">
      <c r="F850" s="109"/>
      <c r="M850" s="109"/>
      <c r="N850" s="109"/>
      <c r="O850" s="109"/>
      <c r="Q850" s="114"/>
    </row>
    <row r="851" ht="15.75" customHeight="1">
      <c r="F851" s="109"/>
      <c r="M851" s="109"/>
      <c r="N851" s="109"/>
      <c r="O851" s="109"/>
      <c r="Q851" s="114"/>
    </row>
    <row r="852" ht="15.75" customHeight="1">
      <c r="F852" s="109"/>
      <c r="M852" s="109"/>
      <c r="N852" s="109"/>
      <c r="O852" s="109"/>
      <c r="Q852" s="114"/>
    </row>
    <row r="853" ht="15.75" customHeight="1">
      <c r="F853" s="109"/>
      <c r="M853" s="109"/>
      <c r="N853" s="109"/>
      <c r="O853" s="109"/>
      <c r="Q853" s="114"/>
    </row>
    <row r="854" ht="15.75" customHeight="1">
      <c r="F854" s="109"/>
      <c r="M854" s="109"/>
      <c r="N854" s="109"/>
      <c r="O854" s="109"/>
      <c r="Q854" s="114"/>
    </row>
    <row r="855" ht="15.75" customHeight="1">
      <c r="F855" s="109"/>
      <c r="M855" s="109"/>
      <c r="N855" s="109"/>
      <c r="O855" s="109"/>
      <c r="Q855" s="114"/>
    </row>
    <row r="856" ht="15.75" customHeight="1">
      <c r="F856" s="109"/>
      <c r="M856" s="109"/>
      <c r="N856" s="109"/>
      <c r="O856" s="109"/>
      <c r="Q856" s="114"/>
    </row>
    <row r="857" ht="15.75" customHeight="1">
      <c r="F857" s="109"/>
      <c r="M857" s="109"/>
      <c r="N857" s="109"/>
      <c r="O857" s="109"/>
      <c r="Q857" s="114"/>
    </row>
    <row r="858" ht="15.75" customHeight="1">
      <c r="F858" s="109"/>
      <c r="M858" s="109"/>
      <c r="N858" s="109"/>
      <c r="O858" s="109"/>
      <c r="Q858" s="114"/>
    </row>
    <row r="859" ht="15.75" customHeight="1">
      <c r="F859" s="109"/>
      <c r="M859" s="109"/>
      <c r="N859" s="109"/>
      <c r="O859" s="109"/>
      <c r="Q859" s="114"/>
    </row>
    <row r="860" ht="15.75" customHeight="1">
      <c r="F860" s="109"/>
      <c r="M860" s="109"/>
      <c r="N860" s="109"/>
      <c r="O860" s="109"/>
      <c r="Q860" s="114"/>
    </row>
    <row r="861" ht="15.75" customHeight="1">
      <c r="F861" s="109"/>
      <c r="M861" s="109"/>
      <c r="N861" s="109"/>
      <c r="O861" s="109"/>
      <c r="Q861" s="114"/>
    </row>
    <row r="862" ht="15.75" customHeight="1">
      <c r="F862" s="109"/>
      <c r="M862" s="109"/>
      <c r="N862" s="109"/>
      <c r="O862" s="109"/>
      <c r="Q862" s="114"/>
    </row>
    <row r="863" ht="15.75" customHeight="1">
      <c r="F863" s="109"/>
      <c r="M863" s="109"/>
      <c r="N863" s="109"/>
      <c r="O863" s="109"/>
      <c r="Q863" s="114"/>
    </row>
    <row r="864" ht="15.75" customHeight="1">
      <c r="F864" s="109"/>
      <c r="M864" s="109"/>
      <c r="N864" s="109"/>
      <c r="O864" s="109"/>
      <c r="Q864" s="114"/>
    </row>
    <row r="865" ht="15.75" customHeight="1">
      <c r="F865" s="109"/>
      <c r="M865" s="109"/>
      <c r="N865" s="109"/>
      <c r="O865" s="109"/>
      <c r="Q865" s="114"/>
    </row>
    <row r="866" ht="15.75" customHeight="1">
      <c r="F866" s="109"/>
      <c r="M866" s="109"/>
      <c r="N866" s="109"/>
      <c r="O866" s="109"/>
      <c r="Q866" s="114"/>
    </row>
    <row r="867" ht="15.75" customHeight="1">
      <c r="F867" s="109"/>
      <c r="M867" s="109"/>
      <c r="N867" s="109"/>
      <c r="O867" s="109"/>
      <c r="Q867" s="114"/>
    </row>
    <row r="868" ht="15.75" customHeight="1">
      <c r="F868" s="109"/>
      <c r="M868" s="109"/>
      <c r="N868" s="109"/>
      <c r="O868" s="109"/>
      <c r="Q868" s="114"/>
    </row>
    <row r="869" ht="15.75" customHeight="1">
      <c r="F869" s="109"/>
      <c r="M869" s="109"/>
      <c r="N869" s="109"/>
      <c r="O869" s="109"/>
      <c r="Q869" s="114"/>
    </row>
    <row r="870" ht="15.75" customHeight="1">
      <c r="F870" s="109"/>
      <c r="M870" s="109"/>
      <c r="N870" s="109"/>
      <c r="O870" s="109"/>
      <c r="Q870" s="114"/>
    </row>
    <row r="871" ht="15.75" customHeight="1">
      <c r="F871" s="109"/>
      <c r="M871" s="109"/>
      <c r="N871" s="109"/>
      <c r="O871" s="109"/>
      <c r="Q871" s="114"/>
    </row>
    <row r="872" ht="15.75" customHeight="1">
      <c r="F872" s="109"/>
      <c r="M872" s="109"/>
      <c r="N872" s="109"/>
      <c r="O872" s="109"/>
      <c r="Q872" s="114"/>
    </row>
    <row r="873" ht="15.75" customHeight="1">
      <c r="F873" s="109"/>
      <c r="M873" s="109"/>
      <c r="N873" s="109"/>
      <c r="O873" s="109"/>
      <c r="Q873" s="114"/>
    </row>
    <row r="874" ht="15.75" customHeight="1">
      <c r="F874" s="109"/>
      <c r="M874" s="109"/>
      <c r="N874" s="109"/>
      <c r="O874" s="109"/>
      <c r="Q874" s="114"/>
    </row>
    <row r="875" ht="15.75" customHeight="1">
      <c r="F875" s="109"/>
      <c r="M875" s="109"/>
      <c r="N875" s="109"/>
      <c r="O875" s="109"/>
      <c r="Q875" s="114"/>
    </row>
    <row r="876" ht="15.75" customHeight="1">
      <c r="F876" s="109"/>
      <c r="M876" s="109"/>
      <c r="N876" s="109"/>
      <c r="O876" s="109"/>
      <c r="Q876" s="114"/>
    </row>
    <row r="877" ht="15.75" customHeight="1">
      <c r="F877" s="109"/>
      <c r="M877" s="109"/>
      <c r="N877" s="109"/>
      <c r="O877" s="109"/>
      <c r="Q877" s="114"/>
    </row>
    <row r="878" ht="15.75" customHeight="1">
      <c r="F878" s="109"/>
      <c r="M878" s="109"/>
      <c r="N878" s="109"/>
      <c r="O878" s="109"/>
      <c r="Q878" s="114"/>
    </row>
    <row r="879" ht="15.75" customHeight="1">
      <c r="F879" s="109"/>
      <c r="M879" s="109"/>
      <c r="N879" s="109"/>
      <c r="O879" s="109"/>
      <c r="Q879" s="114"/>
    </row>
    <row r="880" ht="15.75" customHeight="1">
      <c r="F880" s="109"/>
      <c r="M880" s="109"/>
      <c r="N880" s="109"/>
      <c r="O880" s="109"/>
      <c r="Q880" s="114"/>
    </row>
    <row r="881" ht="15.75" customHeight="1">
      <c r="F881" s="109"/>
      <c r="M881" s="109"/>
      <c r="N881" s="109"/>
      <c r="O881" s="109"/>
      <c r="Q881" s="114"/>
    </row>
    <row r="882" ht="15.75" customHeight="1">
      <c r="F882" s="109"/>
      <c r="M882" s="109"/>
      <c r="N882" s="109"/>
      <c r="O882" s="109"/>
      <c r="Q882" s="114"/>
    </row>
    <row r="883" ht="15.75" customHeight="1">
      <c r="F883" s="109"/>
      <c r="M883" s="109"/>
      <c r="N883" s="109"/>
      <c r="O883" s="109"/>
      <c r="Q883" s="114"/>
    </row>
    <row r="884" ht="15.75" customHeight="1">
      <c r="F884" s="109"/>
      <c r="M884" s="109"/>
      <c r="N884" s="109"/>
      <c r="O884" s="109"/>
      <c r="Q884" s="114"/>
    </row>
    <row r="885" ht="15.75" customHeight="1">
      <c r="F885" s="109"/>
      <c r="M885" s="109"/>
      <c r="N885" s="109"/>
      <c r="O885" s="109"/>
      <c r="Q885" s="114"/>
    </row>
    <row r="886" ht="15.75" customHeight="1">
      <c r="F886" s="109"/>
      <c r="M886" s="109"/>
      <c r="N886" s="109"/>
      <c r="O886" s="109"/>
      <c r="Q886" s="114"/>
    </row>
    <row r="887" ht="15.75" customHeight="1">
      <c r="F887" s="109"/>
      <c r="M887" s="109"/>
      <c r="N887" s="109"/>
      <c r="O887" s="109"/>
      <c r="Q887" s="114"/>
    </row>
    <row r="888" ht="15.75" customHeight="1">
      <c r="F888" s="109"/>
      <c r="M888" s="109"/>
      <c r="N888" s="109"/>
      <c r="O888" s="109"/>
      <c r="Q888" s="114"/>
    </row>
    <row r="889" ht="15.75" customHeight="1">
      <c r="F889" s="109"/>
      <c r="M889" s="109"/>
      <c r="N889" s="109"/>
      <c r="O889" s="109"/>
      <c r="Q889" s="114"/>
    </row>
    <row r="890" ht="15.75" customHeight="1">
      <c r="F890" s="109"/>
      <c r="M890" s="109"/>
      <c r="N890" s="109"/>
      <c r="O890" s="109"/>
      <c r="Q890" s="114"/>
    </row>
    <row r="891" ht="15.75" customHeight="1">
      <c r="F891" s="109"/>
      <c r="M891" s="109"/>
      <c r="N891" s="109"/>
      <c r="O891" s="109"/>
      <c r="Q891" s="114"/>
    </row>
    <row r="892" ht="15.75" customHeight="1">
      <c r="F892" s="109"/>
      <c r="M892" s="109"/>
      <c r="N892" s="109"/>
      <c r="O892" s="109"/>
      <c r="Q892" s="114"/>
    </row>
    <row r="893" ht="15.75" customHeight="1">
      <c r="F893" s="109"/>
      <c r="M893" s="109"/>
      <c r="N893" s="109"/>
      <c r="O893" s="109"/>
      <c r="Q893" s="114"/>
    </row>
    <row r="894" ht="15.75" customHeight="1">
      <c r="F894" s="109"/>
      <c r="M894" s="109"/>
      <c r="N894" s="109"/>
      <c r="O894" s="109"/>
      <c r="Q894" s="114"/>
    </row>
    <row r="895" ht="15.75" customHeight="1">
      <c r="F895" s="109"/>
      <c r="M895" s="109"/>
      <c r="N895" s="109"/>
      <c r="O895" s="109"/>
      <c r="Q895" s="114"/>
    </row>
    <row r="896" ht="15.75" customHeight="1">
      <c r="F896" s="109"/>
      <c r="M896" s="109"/>
      <c r="N896" s="109"/>
      <c r="O896" s="109"/>
      <c r="Q896" s="114"/>
    </row>
    <row r="897" ht="15.75" customHeight="1">
      <c r="F897" s="109"/>
      <c r="M897" s="109"/>
      <c r="N897" s="109"/>
      <c r="O897" s="109"/>
      <c r="Q897" s="114"/>
    </row>
    <row r="898" ht="15.75" customHeight="1">
      <c r="F898" s="109"/>
      <c r="M898" s="109"/>
      <c r="N898" s="109"/>
      <c r="O898" s="109"/>
      <c r="Q898" s="114"/>
    </row>
    <row r="899" ht="15.75" customHeight="1">
      <c r="F899" s="109"/>
      <c r="M899" s="109"/>
      <c r="N899" s="109"/>
      <c r="O899" s="109"/>
      <c r="Q899" s="114"/>
    </row>
    <row r="900" ht="15.75" customHeight="1">
      <c r="F900" s="109"/>
      <c r="M900" s="109"/>
      <c r="N900" s="109"/>
      <c r="O900" s="109"/>
      <c r="Q900" s="114"/>
    </row>
    <row r="901" ht="15.75" customHeight="1">
      <c r="F901" s="109"/>
      <c r="M901" s="109"/>
      <c r="N901" s="109"/>
      <c r="O901" s="109"/>
      <c r="Q901" s="114"/>
    </row>
    <row r="902" ht="15.75" customHeight="1">
      <c r="F902" s="109"/>
      <c r="M902" s="109"/>
      <c r="N902" s="109"/>
      <c r="O902" s="109"/>
      <c r="Q902" s="114"/>
    </row>
    <row r="903" ht="15.75" customHeight="1">
      <c r="F903" s="109"/>
      <c r="M903" s="109"/>
      <c r="N903" s="109"/>
      <c r="O903" s="109"/>
      <c r="Q903" s="114"/>
    </row>
    <row r="904" ht="15.75" customHeight="1">
      <c r="F904" s="109"/>
      <c r="M904" s="109"/>
      <c r="N904" s="109"/>
      <c r="O904" s="109"/>
      <c r="Q904" s="114"/>
    </row>
    <row r="905" ht="15.75" customHeight="1">
      <c r="F905" s="109"/>
      <c r="M905" s="109"/>
      <c r="N905" s="109"/>
      <c r="O905" s="109"/>
      <c r="Q905" s="114"/>
    </row>
    <row r="906" ht="15.75" customHeight="1">
      <c r="F906" s="109"/>
      <c r="M906" s="109"/>
      <c r="N906" s="109"/>
      <c r="O906" s="109"/>
      <c r="Q906" s="114"/>
    </row>
    <row r="907" ht="15.75" customHeight="1">
      <c r="F907" s="109"/>
      <c r="M907" s="109"/>
      <c r="N907" s="109"/>
      <c r="O907" s="109"/>
      <c r="Q907" s="114"/>
    </row>
    <row r="908" ht="15.75" customHeight="1">
      <c r="F908" s="109"/>
      <c r="M908" s="109"/>
      <c r="N908" s="109"/>
      <c r="O908" s="109"/>
      <c r="Q908" s="114"/>
    </row>
    <row r="909" ht="15.75" customHeight="1">
      <c r="F909" s="109"/>
      <c r="M909" s="109"/>
      <c r="N909" s="109"/>
      <c r="O909" s="109"/>
      <c r="Q909" s="114"/>
    </row>
    <row r="910" ht="15.75" customHeight="1">
      <c r="F910" s="109"/>
      <c r="M910" s="109"/>
      <c r="N910" s="109"/>
      <c r="O910" s="109"/>
      <c r="Q910" s="114"/>
    </row>
    <row r="911" ht="15.75" customHeight="1">
      <c r="F911" s="109"/>
      <c r="M911" s="109"/>
      <c r="N911" s="109"/>
      <c r="O911" s="109"/>
      <c r="Q911" s="114"/>
    </row>
    <row r="912" ht="15.75" customHeight="1">
      <c r="F912" s="109"/>
      <c r="M912" s="109"/>
      <c r="N912" s="109"/>
      <c r="O912" s="109"/>
      <c r="Q912" s="114"/>
    </row>
    <row r="913" ht="15.75" customHeight="1">
      <c r="F913" s="109"/>
      <c r="M913" s="109"/>
      <c r="N913" s="109"/>
      <c r="O913" s="109"/>
      <c r="Q913" s="114"/>
    </row>
    <row r="914" ht="15.75" customHeight="1">
      <c r="F914" s="109"/>
      <c r="M914" s="109"/>
      <c r="N914" s="109"/>
      <c r="O914" s="109"/>
      <c r="Q914" s="114"/>
    </row>
    <row r="915" ht="15.75" customHeight="1">
      <c r="F915" s="109"/>
      <c r="M915" s="109"/>
      <c r="N915" s="109"/>
      <c r="O915" s="109"/>
      <c r="Q915" s="114"/>
    </row>
    <row r="916" ht="15.75" customHeight="1">
      <c r="F916" s="109"/>
      <c r="M916" s="109"/>
      <c r="N916" s="109"/>
      <c r="O916" s="109"/>
      <c r="Q916" s="114"/>
    </row>
    <row r="917" ht="15.75" customHeight="1">
      <c r="F917" s="109"/>
      <c r="M917" s="109"/>
      <c r="N917" s="109"/>
      <c r="O917" s="109"/>
      <c r="Q917" s="114"/>
    </row>
    <row r="918" ht="15.75" customHeight="1">
      <c r="F918" s="109"/>
      <c r="M918" s="109"/>
      <c r="N918" s="109"/>
      <c r="O918" s="109"/>
      <c r="Q918" s="114"/>
    </row>
    <row r="919" ht="15.75" customHeight="1">
      <c r="F919" s="109"/>
      <c r="M919" s="109"/>
      <c r="N919" s="109"/>
      <c r="O919" s="109"/>
      <c r="Q919" s="114"/>
    </row>
    <row r="920" ht="15.75" customHeight="1">
      <c r="F920" s="109"/>
      <c r="M920" s="109"/>
      <c r="N920" s="109"/>
      <c r="O920" s="109"/>
      <c r="Q920" s="114"/>
    </row>
    <row r="921" ht="15.75" customHeight="1">
      <c r="F921" s="109"/>
      <c r="M921" s="109"/>
      <c r="N921" s="109"/>
      <c r="O921" s="109"/>
      <c r="Q921" s="114"/>
    </row>
    <row r="922" ht="15.75" customHeight="1">
      <c r="F922" s="109"/>
      <c r="M922" s="109"/>
      <c r="N922" s="109"/>
      <c r="O922" s="109"/>
      <c r="Q922" s="114"/>
    </row>
    <row r="923" ht="15.75" customHeight="1">
      <c r="F923" s="109"/>
      <c r="M923" s="109"/>
      <c r="N923" s="109"/>
      <c r="O923" s="109"/>
      <c r="Q923" s="114"/>
    </row>
    <row r="924" ht="15.75" customHeight="1">
      <c r="F924" s="109"/>
      <c r="M924" s="109"/>
      <c r="N924" s="109"/>
      <c r="O924" s="109"/>
      <c r="Q924" s="114"/>
    </row>
    <row r="925" ht="15.75" customHeight="1">
      <c r="F925" s="109"/>
      <c r="M925" s="109"/>
      <c r="N925" s="109"/>
      <c r="O925" s="109"/>
      <c r="Q925" s="114"/>
    </row>
    <row r="926" ht="15.75" customHeight="1">
      <c r="F926" s="109"/>
      <c r="M926" s="109"/>
      <c r="N926" s="109"/>
      <c r="O926" s="109"/>
      <c r="Q926" s="114"/>
    </row>
    <row r="927" ht="15.75" customHeight="1">
      <c r="F927" s="109"/>
      <c r="M927" s="109"/>
      <c r="N927" s="109"/>
      <c r="O927" s="109"/>
      <c r="Q927" s="114"/>
    </row>
    <row r="928" ht="15.75" customHeight="1">
      <c r="F928" s="109"/>
      <c r="M928" s="109"/>
      <c r="N928" s="109"/>
      <c r="O928" s="109"/>
      <c r="Q928" s="114"/>
    </row>
    <row r="929" ht="15.75" customHeight="1">
      <c r="F929" s="109"/>
      <c r="M929" s="109"/>
      <c r="N929" s="109"/>
      <c r="O929" s="109"/>
      <c r="Q929" s="114"/>
    </row>
    <row r="930" ht="15.75" customHeight="1">
      <c r="F930" s="109"/>
      <c r="M930" s="109"/>
      <c r="N930" s="109"/>
      <c r="O930" s="109"/>
      <c r="Q930" s="114"/>
    </row>
    <row r="931" ht="15.75" customHeight="1">
      <c r="F931" s="109"/>
      <c r="M931" s="109"/>
      <c r="N931" s="109"/>
      <c r="O931" s="109"/>
      <c r="Q931" s="114"/>
    </row>
    <row r="932" ht="15.75" customHeight="1">
      <c r="F932" s="109"/>
      <c r="M932" s="109"/>
      <c r="N932" s="109"/>
      <c r="O932" s="109"/>
      <c r="Q932" s="114"/>
    </row>
    <row r="933" ht="15.75" customHeight="1">
      <c r="F933" s="109"/>
      <c r="M933" s="109"/>
      <c r="N933" s="109"/>
      <c r="O933" s="109"/>
      <c r="Q933" s="114"/>
    </row>
    <row r="934" ht="15.75" customHeight="1">
      <c r="F934" s="109"/>
      <c r="M934" s="109"/>
      <c r="N934" s="109"/>
      <c r="O934" s="109"/>
      <c r="Q934" s="114"/>
    </row>
    <row r="935" ht="15.75" customHeight="1">
      <c r="F935" s="109"/>
      <c r="M935" s="109"/>
      <c r="N935" s="109"/>
      <c r="O935" s="109"/>
      <c r="Q935" s="114"/>
    </row>
    <row r="936" ht="15.75" customHeight="1">
      <c r="F936" s="109"/>
      <c r="M936" s="109"/>
      <c r="N936" s="109"/>
      <c r="O936" s="109"/>
      <c r="Q936" s="114"/>
    </row>
    <row r="937" ht="15.75" customHeight="1">
      <c r="F937" s="109"/>
      <c r="M937" s="109"/>
      <c r="N937" s="109"/>
      <c r="O937" s="109"/>
      <c r="Q937" s="114"/>
    </row>
    <row r="938" ht="15.75" customHeight="1">
      <c r="F938" s="109"/>
      <c r="M938" s="109"/>
      <c r="N938" s="109"/>
      <c r="O938" s="109"/>
      <c r="Q938" s="114"/>
    </row>
    <row r="939" ht="15.75" customHeight="1">
      <c r="F939" s="109"/>
      <c r="M939" s="109"/>
      <c r="N939" s="109"/>
      <c r="O939" s="109"/>
      <c r="Q939" s="114"/>
    </row>
    <row r="940" ht="15.75" customHeight="1">
      <c r="F940" s="109"/>
      <c r="M940" s="109"/>
      <c r="N940" s="109"/>
      <c r="O940" s="109"/>
      <c r="Q940" s="114"/>
    </row>
    <row r="941" ht="15.75" customHeight="1">
      <c r="F941" s="109"/>
      <c r="M941" s="109"/>
      <c r="N941" s="109"/>
      <c r="O941" s="109"/>
      <c r="Q941" s="114"/>
    </row>
    <row r="942" ht="15.75" customHeight="1">
      <c r="F942" s="109"/>
      <c r="M942" s="109"/>
      <c r="N942" s="109"/>
      <c r="O942" s="109"/>
      <c r="Q942" s="114"/>
    </row>
    <row r="943" ht="15.75" customHeight="1">
      <c r="F943" s="109"/>
      <c r="M943" s="109"/>
      <c r="N943" s="109"/>
      <c r="O943" s="109"/>
      <c r="Q943" s="114"/>
    </row>
    <row r="944" ht="15.75" customHeight="1">
      <c r="F944" s="109"/>
      <c r="M944" s="109"/>
      <c r="N944" s="109"/>
      <c r="O944" s="109"/>
      <c r="Q944" s="114"/>
    </row>
    <row r="945" ht="15.75" customHeight="1">
      <c r="F945" s="109"/>
      <c r="M945" s="109"/>
      <c r="N945" s="109"/>
      <c r="O945" s="109"/>
      <c r="Q945" s="114"/>
    </row>
    <row r="946" ht="15.75" customHeight="1">
      <c r="F946" s="109"/>
      <c r="M946" s="109"/>
      <c r="N946" s="109"/>
      <c r="O946" s="109"/>
      <c r="Q946" s="114"/>
    </row>
    <row r="947" ht="15.75" customHeight="1">
      <c r="F947" s="109"/>
      <c r="M947" s="109"/>
      <c r="N947" s="109"/>
      <c r="O947" s="109"/>
      <c r="Q947" s="114"/>
    </row>
    <row r="948" ht="15.75" customHeight="1">
      <c r="F948" s="109"/>
      <c r="M948" s="109"/>
      <c r="N948" s="109"/>
      <c r="O948" s="109"/>
      <c r="Q948" s="114"/>
    </row>
    <row r="949" ht="15.75" customHeight="1">
      <c r="F949" s="109"/>
      <c r="M949" s="109"/>
      <c r="N949" s="109"/>
      <c r="O949" s="109"/>
      <c r="Q949" s="114"/>
    </row>
    <row r="950" ht="15.75" customHeight="1">
      <c r="F950" s="109"/>
      <c r="M950" s="109"/>
      <c r="N950" s="109"/>
      <c r="O950" s="109"/>
      <c r="Q950" s="114"/>
    </row>
    <row r="951" ht="15.75" customHeight="1">
      <c r="F951" s="109"/>
      <c r="M951" s="109"/>
      <c r="N951" s="109"/>
      <c r="O951" s="109"/>
      <c r="Q951" s="114"/>
    </row>
    <row r="952" ht="15.75" customHeight="1">
      <c r="F952" s="109"/>
      <c r="M952" s="109"/>
      <c r="N952" s="109"/>
      <c r="O952" s="109"/>
      <c r="Q952" s="114"/>
    </row>
    <row r="953" ht="15.75" customHeight="1">
      <c r="F953" s="109"/>
      <c r="M953" s="109"/>
      <c r="N953" s="109"/>
      <c r="O953" s="109"/>
      <c r="Q953" s="114"/>
    </row>
    <row r="954" ht="15.75" customHeight="1">
      <c r="F954" s="109"/>
      <c r="M954" s="109"/>
      <c r="N954" s="109"/>
      <c r="O954" s="109"/>
      <c r="Q954" s="114"/>
    </row>
    <row r="955" ht="15.75" customHeight="1">
      <c r="F955" s="109"/>
      <c r="M955" s="109"/>
      <c r="N955" s="109"/>
      <c r="O955" s="109"/>
      <c r="Q955" s="114"/>
    </row>
    <row r="956" ht="15.75" customHeight="1">
      <c r="F956" s="109"/>
      <c r="M956" s="109"/>
      <c r="N956" s="109"/>
      <c r="O956" s="109"/>
      <c r="Q956" s="114"/>
    </row>
    <row r="957" ht="15.75" customHeight="1">
      <c r="F957" s="109"/>
      <c r="M957" s="109"/>
      <c r="N957" s="109"/>
      <c r="O957" s="109"/>
      <c r="Q957" s="114"/>
    </row>
    <row r="958" ht="15.75" customHeight="1">
      <c r="F958" s="109"/>
      <c r="M958" s="109"/>
      <c r="N958" s="109"/>
      <c r="O958" s="109"/>
      <c r="Q958" s="114"/>
    </row>
    <row r="959" ht="15.75" customHeight="1">
      <c r="F959" s="109"/>
      <c r="M959" s="109"/>
      <c r="N959" s="109"/>
      <c r="O959" s="109"/>
      <c r="Q959" s="114"/>
    </row>
    <row r="960" ht="15.75" customHeight="1">
      <c r="F960" s="109"/>
      <c r="M960" s="109"/>
      <c r="N960" s="109"/>
      <c r="O960" s="109"/>
      <c r="Q960" s="114"/>
    </row>
  </sheetData>
  <conditionalFormatting sqref="C2:C63">
    <cfRule type="notContainsBlanks" dxfId="0" priority="1">
      <formula>LEN(TRIM(C2))&gt;0</formula>
    </cfRule>
  </conditionalFormatting>
  <dataValidations>
    <dataValidation type="list" allowBlank="1" showErrorMessage="1" sqref="M2:M960">
      <formula1>"Caja Blanca,Caja Gris,Caja Negra,Caja Negra (Rendimiento),Estrategia,Seguridad,Usabilidad"</formula1>
    </dataValidation>
    <dataValidation type="list" allowBlank="1" showErrorMessage="1" sqref="F2">
      <formula1>"Carga,Funcional,Funcional (Lectura),Rendimiento,Seguridad (UI),Stress,Usabilidad,No funcional"</formula1>
    </dataValidation>
    <dataValidation type="list" allowBlank="1" showErrorMessage="1" sqref="N2:N960">
      <formula1>"Bloqueado,No ejecutado,NOK,OK,Resultado,obsoleto"</formula1>
    </dataValidation>
    <dataValidation type="list" allowBlank="1" showErrorMessage="1" sqref="F3:F960">
      <formula1>"Carga,Funcional,Funcional (Lectura),Rendimiento,Seguridad (UI),Stress,Usabilidad,Validación,No funcional"</formula1>
    </dataValidation>
    <dataValidation type="list" allowBlank="1" showErrorMessage="1" sqref="O2:O960">
      <formula1>"Candidato a automatizar,NO,SI"</formula1>
    </dataValidation>
    <dataValidation type="list" allowBlank="1" showErrorMessage="1" sqref="Q2:Q960">
      <formula1>"Jmeter,Selenium,Manual"</formula1>
    </dataValidation>
  </dataValidations>
  <printOptions/>
  <pageMargins bottom="0.75" footer="0.0" header="0.0" left="0.7" right="0.7" top="0.75"/>
  <pageSetup orientation="landscape"/>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24.43"/>
  </cols>
  <sheetData>
    <row r="2">
      <c r="A2" s="115" t="s">
        <v>688</v>
      </c>
      <c r="B2" s="116">
        <f>COUNTIF('Plan de prueba (2)'!D:D,"*")</f>
        <v>100</v>
      </c>
    </row>
    <row r="3">
      <c r="H3" s="21" t="s">
        <v>2</v>
      </c>
      <c r="I3" s="31" t="s">
        <v>3</v>
      </c>
      <c r="J3" s="117">
        <f>COUNTIF('Plan de prueba (2)'!N:N,'Plan de prueba (2)'!N2)</f>
        <v>94</v>
      </c>
    </row>
    <row r="4">
      <c r="A4" s="118" t="s">
        <v>689</v>
      </c>
      <c r="B4" s="118" t="s">
        <v>690</v>
      </c>
      <c r="H4" s="25"/>
      <c r="I4" s="31" t="s">
        <v>4</v>
      </c>
      <c r="J4" s="119">
        <v>0.0</v>
      </c>
    </row>
    <row r="5">
      <c r="A5" s="119" t="s">
        <v>43</v>
      </c>
      <c r="B5" s="117">
        <f>COUNTIF('Plan de prueba (2)'!Q:Q,'Plan de prueba (2)'!Q2)</f>
        <v>33</v>
      </c>
      <c r="H5" s="25"/>
      <c r="I5" s="31" t="s">
        <v>5</v>
      </c>
      <c r="J5" s="117">
        <f>COUNTIF('Plan de prueba (2)'!N:N,'Plan de prueba (2)'!N7)</f>
        <v>1</v>
      </c>
    </row>
    <row r="6">
      <c r="A6" s="119" t="s">
        <v>691</v>
      </c>
      <c r="B6" s="117">
        <f>COUNTIF('Plan de prueba (2)'!Q:Q,'Plan de prueba (2)'!Q33)</f>
        <v>58</v>
      </c>
      <c r="H6" s="25"/>
      <c r="I6" s="31" t="s">
        <v>6</v>
      </c>
      <c r="J6" s="119">
        <v>0.0</v>
      </c>
    </row>
    <row r="7">
      <c r="A7" s="119" t="s">
        <v>692</v>
      </c>
      <c r="B7" s="117">
        <f>COUNTIF('Plan de prueba (2)'!Q:Q,'Plan de prueba (2)'!Q6)</f>
        <v>58</v>
      </c>
      <c r="H7" s="26"/>
      <c r="I7" s="31" t="s">
        <v>7</v>
      </c>
      <c r="J7" s="119">
        <f>COUNTIF('Plan de prueba (2)'!N:N,'Plan de prueba (2)'!N58)</f>
        <v>4</v>
      </c>
    </row>
  </sheetData>
  <mergeCells count="1">
    <mergeCell ref="H3:H7"/>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sheetData>
    <row r="1">
      <c r="A1" s="95" t="s">
        <v>46</v>
      </c>
      <c r="B1" s="95" t="s">
        <v>40</v>
      </c>
    </row>
    <row r="2">
      <c r="A2" s="95" t="s">
        <v>693</v>
      </c>
      <c r="B2" s="95" t="s">
        <v>84</v>
      </c>
    </row>
    <row r="3">
      <c r="A3" s="95" t="s">
        <v>694</v>
      </c>
      <c r="B3" s="120" t="s">
        <v>93</v>
      </c>
    </row>
    <row r="4">
      <c r="A4" s="121" t="s">
        <v>604</v>
      </c>
    </row>
    <row r="9">
      <c r="F9" s="95"/>
      <c r="H9" s="95"/>
    </row>
    <row r="10">
      <c r="F10" s="95"/>
      <c r="H10" s="95"/>
    </row>
    <row r="11">
      <c r="F11" s="95"/>
      <c r="H11" s="95"/>
    </row>
    <row r="12">
      <c r="F12" s="95"/>
      <c r="H12" s="95"/>
    </row>
    <row r="13">
      <c r="F13" s="95"/>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2.29"/>
    <col customWidth="1" min="2" max="2" width="12.43"/>
    <col customWidth="1" min="3" max="3" width="6.29"/>
    <col customWidth="1" min="4" max="6" width="10.71"/>
  </cols>
  <sheetData>
    <row r="1" ht="14.25" customHeight="1">
      <c r="A1" s="95" t="s">
        <v>46</v>
      </c>
      <c r="B1" s="95" t="s">
        <v>3</v>
      </c>
      <c r="C1" s="95" t="s">
        <v>695</v>
      </c>
      <c r="D1" s="95" t="s">
        <v>41</v>
      </c>
    </row>
    <row r="2" ht="14.25" customHeight="1">
      <c r="A2" s="95" t="s">
        <v>693</v>
      </c>
      <c r="B2" s="95" t="s">
        <v>4</v>
      </c>
      <c r="C2" s="95" t="s">
        <v>696</v>
      </c>
      <c r="D2" s="95" t="s">
        <v>110</v>
      </c>
    </row>
    <row r="3" ht="14.25" customHeight="1">
      <c r="A3" s="95" t="s">
        <v>697</v>
      </c>
      <c r="B3" s="95" t="s">
        <v>5</v>
      </c>
      <c r="C3" s="95" t="s">
        <v>698</v>
      </c>
    </row>
    <row r="4" ht="14.25" customHeight="1">
      <c r="A4" s="95" t="s">
        <v>699</v>
      </c>
      <c r="B4" s="95" t="s">
        <v>6</v>
      </c>
    </row>
    <row r="5" ht="14.25" customHeight="1">
      <c r="A5" s="95" t="s">
        <v>700</v>
      </c>
      <c r="B5" s="95" t="s">
        <v>7</v>
      </c>
    </row>
    <row r="6" ht="14.25" customHeight="1">
      <c r="A6" s="95" t="s">
        <v>701</v>
      </c>
    </row>
    <row r="7" ht="14.25" customHeight="1">
      <c r="A7" s="95" t="s">
        <v>418</v>
      </c>
    </row>
    <row r="8" ht="14.25" customHeight="1">
      <c r="A8" s="95" t="s">
        <v>409</v>
      </c>
    </row>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printOptions/>
  <pageMargins bottom="0.75" footer="0.0" header="0.0" left="0.7" right="0.7" top="0.75"/>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2022-11-12T13:19:55Z</dcterms:created>
  <dc:creator>Guzman Bozo, Jorge</dc:creator>
</cp:coreProperties>
</file>