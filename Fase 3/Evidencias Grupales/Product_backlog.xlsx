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chris\Desktop\"/>
    </mc:Choice>
  </mc:AlternateContent>
  <xr:revisionPtr revIDLastSave="0" documentId="13_ncr:1_{0A20268C-E56E-4447-A09F-64553F059109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Epicas" sheetId="5" r:id="rId1"/>
    <sheet name="Historias de Usuario" sheetId="7" r:id="rId2"/>
    <sheet name="Tareas" sheetId="8" r:id="rId3"/>
    <sheet name="Sprint" sheetId="10" r:id="rId4"/>
    <sheet name="Estadísticas Sprints" sheetId="11" r:id="rId5"/>
    <sheet name="Configuración" sheetId="9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18" i="8" l="1"/>
  <c r="B619" i="8"/>
  <c r="B620" i="8"/>
  <c r="B621" i="8"/>
  <c r="B622" i="8"/>
  <c r="B623" i="8"/>
  <c r="B624" i="8"/>
  <c r="B625" i="8"/>
  <c r="C618" i="8"/>
  <c r="C619" i="8"/>
  <c r="C620" i="8"/>
  <c r="C621" i="8"/>
  <c r="C622" i="8"/>
  <c r="C623" i="8"/>
  <c r="C624" i="8"/>
  <c r="C625" i="8"/>
  <c r="B617" i="8"/>
  <c r="C617" i="8"/>
  <c r="B607" i="8"/>
  <c r="B608" i="8"/>
  <c r="B609" i="8"/>
  <c r="B610" i="8"/>
  <c r="B611" i="8"/>
  <c r="B612" i="8"/>
  <c r="B613" i="8"/>
  <c r="B614" i="8"/>
  <c r="B615" i="8"/>
  <c r="B616" i="8"/>
  <c r="C607" i="8"/>
  <c r="C608" i="8"/>
  <c r="C609" i="8"/>
  <c r="C610" i="8"/>
  <c r="C611" i="8"/>
  <c r="C612" i="8"/>
  <c r="C613" i="8"/>
  <c r="C614" i="8"/>
  <c r="C615" i="8"/>
  <c r="C616" i="8"/>
  <c r="B606" i="8"/>
  <c r="C606" i="8"/>
  <c r="B605" i="8"/>
  <c r="C605" i="8"/>
  <c r="B604" i="8"/>
  <c r="C604" i="8"/>
  <c r="B603" i="8"/>
  <c r="C603" i="8"/>
  <c r="B602" i="8"/>
  <c r="C602" i="8"/>
  <c r="B601" i="8"/>
  <c r="C601" i="8"/>
  <c r="B600" i="8"/>
  <c r="C600" i="8"/>
  <c r="B599" i="8"/>
  <c r="C599" i="8"/>
  <c r="B598" i="8"/>
  <c r="C598" i="8"/>
  <c r="B597" i="8"/>
  <c r="C597" i="8"/>
  <c r="B596" i="8"/>
  <c r="C596" i="8"/>
  <c r="B595" i="8"/>
  <c r="C595" i="8"/>
  <c r="B594" i="8"/>
  <c r="C594" i="8"/>
  <c r="B593" i="8"/>
  <c r="C593" i="8"/>
  <c r="B592" i="8"/>
  <c r="C592" i="8"/>
  <c r="B591" i="8"/>
  <c r="C591" i="8"/>
  <c r="B590" i="8"/>
  <c r="C590" i="8"/>
  <c r="B589" i="8"/>
  <c r="C589" i="8"/>
  <c r="B588" i="8"/>
  <c r="C588" i="8"/>
  <c r="B587" i="8"/>
  <c r="C587" i="8"/>
  <c r="B586" i="8"/>
  <c r="C586" i="8"/>
  <c r="B585" i="8"/>
  <c r="C585" i="8"/>
  <c r="C584" i="8"/>
  <c r="C26" i="11"/>
  <c r="C25" i="11"/>
  <c r="C24" i="11"/>
  <c r="C23" i="11"/>
  <c r="F20" i="11"/>
  <c r="F19" i="11"/>
  <c r="F18" i="11"/>
  <c r="F17" i="11"/>
  <c r="C20" i="11"/>
  <c r="C19" i="11"/>
  <c r="C18" i="11"/>
  <c r="C17" i="11"/>
  <c r="F14" i="11"/>
  <c r="F13" i="11"/>
  <c r="F12" i="11"/>
  <c r="F11" i="11"/>
  <c r="F8" i="11"/>
  <c r="F7" i="11"/>
  <c r="F6" i="11"/>
  <c r="F5" i="11"/>
  <c r="C14" i="11"/>
  <c r="C13" i="11"/>
  <c r="C12" i="11"/>
  <c r="C11" i="11"/>
  <c r="C8" i="11"/>
  <c r="C7" i="11"/>
  <c r="C6" i="11"/>
  <c r="C5" i="11"/>
  <c r="B583" i="8"/>
  <c r="C583" i="8"/>
  <c r="B582" i="8"/>
  <c r="C582" i="8"/>
  <c r="B581" i="8"/>
  <c r="C581" i="8"/>
  <c r="B580" i="8"/>
  <c r="C580" i="8"/>
  <c r="B579" i="8"/>
  <c r="C579" i="8"/>
  <c r="B247" i="8"/>
  <c r="C247" i="8"/>
  <c r="B246" i="8"/>
  <c r="C246" i="8"/>
  <c r="B245" i="8"/>
  <c r="C245" i="8"/>
  <c r="B244" i="8"/>
  <c r="C244" i="8"/>
  <c r="B243" i="8"/>
  <c r="C243" i="8"/>
  <c r="B242" i="8"/>
  <c r="C242" i="8"/>
  <c r="B241" i="8"/>
  <c r="C241" i="8"/>
  <c r="B239" i="8"/>
  <c r="C239" i="8"/>
  <c r="B240" i="8"/>
  <c r="C240" i="8"/>
  <c r="B238" i="8"/>
  <c r="C238" i="8"/>
  <c r="B575" i="8"/>
  <c r="B576" i="8"/>
  <c r="B577" i="8"/>
  <c r="B578" i="8"/>
  <c r="C575" i="8"/>
  <c r="C576" i="8"/>
  <c r="C577" i="8"/>
  <c r="C578" i="8"/>
  <c r="B574" i="8"/>
  <c r="C574" i="8"/>
  <c r="B567" i="8"/>
  <c r="B568" i="8"/>
  <c r="B569" i="8"/>
  <c r="B570" i="8"/>
  <c r="B571" i="8"/>
  <c r="B572" i="8"/>
  <c r="B573" i="8"/>
  <c r="C567" i="8"/>
  <c r="C568" i="8"/>
  <c r="C569" i="8"/>
  <c r="C570" i="8"/>
  <c r="C571" i="8"/>
  <c r="C572" i="8"/>
  <c r="C573" i="8"/>
  <c r="B566" i="8"/>
  <c r="C566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B551" i="8"/>
  <c r="C551" i="8"/>
  <c r="B549" i="8"/>
  <c r="B550" i="8"/>
  <c r="C549" i="8"/>
  <c r="C550" i="8"/>
  <c r="B548" i="8"/>
  <c r="C548" i="8"/>
  <c r="B540" i="8"/>
  <c r="B541" i="8"/>
  <c r="B542" i="8"/>
  <c r="B543" i="8"/>
  <c r="B544" i="8"/>
  <c r="B545" i="8"/>
  <c r="B546" i="8"/>
  <c r="B547" i="8"/>
  <c r="C540" i="8"/>
  <c r="C541" i="8"/>
  <c r="C542" i="8"/>
  <c r="C543" i="8"/>
  <c r="C544" i="8"/>
  <c r="C545" i="8"/>
  <c r="C546" i="8"/>
  <c r="C547" i="8"/>
  <c r="B539" i="8"/>
  <c r="C539" i="8"/>
  <c r="B530" i="8"/>
  <c r="B531" i="8"/>
  <c r="B532" i="8"/>
  <c r="B533" i="8"/>
  <c r="B534" i="8"/>
  <c r="B535" i="8"/>
  <c r="B536" i="8"/>
  <c r="B537" i="8"/>
  <c r="B538" i="8"/>
  <c r="C530" i="8"/>
  <c r="C531" i="8"/>
  <c r="C532" i="8"/>
  <c r="C533" i="8"/>
  <c r="C534" i="8"/>
  <c r="C535" i="8"/>
  <c r="C536" i="8"/>
  <c r="C537" i="8"/>
  <c r="C538" i="8"/>
  <c r="B529" i="8"/>
  <c r="C529" i="8"/>
  <c r="B522" i="8"/>
  <c r="B523" i="8"/>
  <c r="B524" i="8"/>
  <c r="B525" i="8"/>
  <c r="B526" i="8"/>
  <c r="B527" i="8"/>
  <c r="B528" i="8"/>
  <c r="C522" i="8"/>
  <c r="C523" i="8"/>
  <c r="C524" i="8"/>
  <c r="C525" i="8"/>
  <c r="C526" i="8"/>
  <c r="C527" i="8"/>
  <c r="C528" i="8"/>
  <c r="B521" i="8"/>
  <c r="C521" i="8"/>
  <c r="B516" i="8"/>
  <c r="B517" i="8"/>
  <c r="B518" i="8"/>
  <c r="B519" i="8"/>
  <c r="B520" i="8"/>
  <c r="C516" i="8"/>
  <c r="C517" i="8"/>
  <c r="C518" i="8"/>
  <c r="C519" i="8"/>
  <c r="C520" i="8"/>
  <c r="B515" i="8"/>
  <c r="C515" i="8"/>
  <c r="B510" i="8"/>
  <c r="B511" i="8"/>
  <c r="B512" i="8"/>
  <c r="B513" i="8"/>
  <c r="B514" i="8"/>
  <c r="C510" i="8"/>
  <c r="C511" i="8"/>
  <c r="C512" i="8"/>
  <c r="C513" i="8"/>
  <c r="C514" i="8"/>
  <c r="B509" i="8"/>
  <c r="C509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B496" i="8"/>
  <c r="C496" i="8"/>
  <c r="B474" i="8"/>
  <c r="B475" i="8"/>
  <c r="B476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B473" i="8"/>
  <c r="C473" i="8"/>
  <c r="B464" i="8"/>
  <c r="B465" i="8"/>
  <c r="B466" i="8"/>
  <c r="B467" i="8"/>
  <c r="B468" i="8"/>
  <c r="B469" i="8"/>
  <c r="B470" i="8"/>
  <c r="B471" i="8"/>
  <c r="B472" i="8"/>
  <c r="C464" i="8"/>
  <c r="C465" i="8"/>
  <c r="C466" i="8"/>
  <c r="C467" i="8"/>
  <c r="C468" i="8"/>
  <c r="C469" i="8"/>
  <c r="C470" i="8"/>
  <c r="C471" i="8"/>
  <c r="C472" i="8"/>
  <c r="B463" i="8"/>
  <c r="C463" i="8"/>
  <c r="B462" i="8"/>
  <c r="C462" i="8"/>
  <c r="B461" i="8"/>
  <c r="C461" i="8"/>
  <c r="B460" i="8"/>
  <c r="C460" i="8"/>
  <c r="B459" i="8"/>
  <c r="C459" i="8"/>
  <c r="B458" i="8"/>
  <c r="C458" i="8"/>
  <c r="B457" i="8"/>
  <c r="C457" i="8"/>
  <c r="B456" i="8"/>
  <c r="C456" i="8"/>
  <c r="B455" i="8"/>
  <c r="C455" i="8"/>
  <c r="B454" i="8"/>
  <c r="C454" i="8"/>
  <c r="B453" i="8"/>
  <c r="C453" i="8"/>
  <c r="B452" i="8"/>
  <c r="C452" i="8"/>
  <c r="B451" i="8"/>
  <c r="C451" i="8"/>
  <c r="B450" i="8"/>
  <c r="C450" i="8"/>
  <c r="B449" i="8"/>
  <c r="C449" i="8"/>
  <c r="B448" i="8"/>
  <c r="C448" i="8"/>
  <c r="B447" i="8"/>
  <c r="C447" i="8"/>
  <c r="B446" i="8"/>
  <c r="C446" i="8"/>
  <c r="B445" i="8"/>
  <c r="C445" i="8"/>
  <c r="B444" i="8"/>
  <c r="C444" i="8"/>
  <c r="B443" i="8"/>
  <c r="C443" i="8"/>
  <c r="B442" i="8"/>
  <c r="C442" i="8"/>
  <c r="B441" i="8"/>
  <c r="C441" i="8"/>
  <c r="B440" i="8"/>
  <c r="C440" i="8"/>
  <c r="B439" i="8"/>
  <c r="C439" i="8"/>
  <c r="B438" i="8"/>
  <c r="C438" i="8"/>
  <c r="B437" i="8"/>
  <c r="C437" i="8"/>
  <c r="B436" i="8"/>
  <c r="C436" i="8"/>
  <c r="B435" i="8"/>
  <c r="C435" i="8"/>
  <c r="B434" i="8"/>
  <c r="C434" i="8"/>
  <c r="B433" i="8"/>
  <c r="C433" i="8"/>
  <c r="B432" i="8"/>
  <c r="C432" i="8"/>
  <c r="B431" i="8"/>
  <c r="C431" i="8"/>
  <c r="B430" i="8"/>
  <c r="C430" i="8"/>
  <c r="B429" i="8"/>
  <c r="C429" i="8"/>
  <c r="B428" i="8"/>
  <c r="C428" i="8"/>
  <c r="B427" i="8"/>
  <c r="C427" i="8"/>
  <c r="B426" i="8"/>
  <c r="C426" i="8"/>
  <c r="B425" i="8"/>
  <c r="C425" i="8"/>
  <c r="B424" i="8"/>
  <c r="C424" i="8"/>
  <c r="B423" i="8"/>
  <c r="C423" i="8"/>
  <c r="B422" i="8"/>
  <c r="C422" i="8"/>
  <c r="B421" i="8"/>
  <c r="C421" i="8"/>
  <c r="B420" i="8"/>
  <c r="C420" i="8"/>
  <c r="B419" i="8"/>
  <c r="C419" i="8"/>
  <c r="B418" i="8"/>
  <c r="C418" i="8"/>
  <c r="B417" i="8"/>
  <c r="C417" i="8"/>
  <c r="B416" i="8"/>
  <c r="C416" i="8"/>
  <c r="B415" i="8"/>
  <c r="C415" i="8"/>
  <c r="B414" i="8"/>
  <c r="C414" i="8"/>
  <c r="B413" i="8"/>
  <c r="C413" i="8"/>
  <c r="B412" i="8"/>
  <c r="C412" i="8"/>
  <c r="B411" i="8"/>
  <c r="C411" i="8"/>
  <c r="B410" i="8"/>
  <c r="C410" i="8"/>
  <c r="B409" i="8"/>
  <c r="C409" i="8"/>
  <c r="B408" i="8"/>
  <c r="C408" i="8"/>
  <c r="B407" i="8"/>
  <c r="C407" i="8"/>
  <c r="B406" i="8"/>
  <c r="C406" i="8"/>
  <c r="B405" i="8"/>
  <c r="C405" i="8"/>
  <c r="B404" i="8"/>
  <c r="C404" i="8"/>
  <c r="B401" i="8"/>
  <c r="C401" i="8"/>
  <c r="B403" i="8"/>
  <c r="C403" i="8"/>
  <c r="B402" i="8"/>
  <c r="C402" i="8"/>
  <c r="B400" i="8"/>
  <c r="C400" i="8"/>
  <c r="B399" i="8"/>
  <c r="C399" i="8"/>
  <c r="B398" i="8"/>
  <c r="C398" i="8"/>
  <c r="B397" i="8"/>
  <c r="C397" i="8"/>
  <c r="B396" i="8"/>
  <c r="C396" i="8"/>
  <c r="B395" i="8"/>
  <c r="C395" i="8"/>
  <c r="B394" i="8"/>
  <c r="C394" i="8"/>
  <c r="B393" i="8"/>
  <c r="C393" i="8"/>
  <c r="B392" i="8"/>
  <c r="C392" i="8"/>
  <c r="B391" i="8"/>
  <c r="C391" i="8"/>
  <c r="B390" i="8"/>
  <c r="C390" i="8"/>
  <c r="B389" i="8"/>
  <c r="C389" i="8"/>
  <c r="B388" i="8"/>
  <c r="C388" i="8"/>
  <c r="B387" i="8"/>
  <c r="C387" i="8"/>
  <c r="B386" i="8"/>
  <c r="C386" i="8"/>
  <c r="B385" i="8"/>
  <c r="C385" i="8"/>
  <c r="B384" i="8"/>
  <c r="C384" i="8"/>
  <c r="B383" i="8"/>
  <c r="C383" i="8"/>
  <c r="B382" i="8"/>
  <c r="C382" i="8"/>
  <c r="B381" i="8"/>
  <c r="C381" i="8"/>
  <c r="B380" i="8"/>
  <c r="C380" i="8"/>
  <c r="B379" i="8"/>
  <c r="C379" i="8"/>
  <c r="B378" i="8"/>
  <c r="C378" i="8"/>
  <c r="B377" i="8"/>
  <c r="C377" i="8"/>
  <c r="B376" i="8"/>
  <c r="C376" i="8"/>
  <c r="B375" i="8"/>
  <c r="C375" i="8"/>
  <c r="B374" i="8"/>
  <c r="C374" i="8"/>
  <c r="B373" i="8"/>
  <c r="C373" i="8"/>
  <c r="B372" i="8"/>
  <c r="C372" i="8"/>
  <c r="B367" i="8"/>
  <c r="B368" i="8"/>
  <c r="B369" i="8"/>
  <c r="B370" i="8"/>
  <c r="B371" i="8"/>
  <c r="C367" i="8"/>
  <c r="C368" i="8"/>
  <c r="C369" i="8"/>
  <c r="C370" i="8"/>
  <c r="C371" i="8"/>
  <c r="B366" i="8"/>
  <c r="C366" i="8"/>
  <c r="B365" i="8"/>
  <c r="C365" i="8"/>
  <c r="B364" i="8"/>
  <c r="C364" i="8"/>
  <c r="B363" i="8"/>
  <c r="C363" i="8"/>
  <c r="B362" i="8"/>
  <c r="C362" i="8"/>
  <c r="B361" i="8"/>
  <c r="C361" i="8"/>
  <c r="B360" i="8"/>
  <c r="C360" i="8"/>
  <c r="B359" i="8"/>
  <c r="C359" i="8"/>
  <c r="B358" i="8"/>
  <c r="C358" i="8"/>
  <c r="B357" i="8"/>
  <c r="C357" i="8"/>
  <c r="B356" i="8"/>
  <c r="C356" i="8"/>
  <c r="B355" i="8"/>
  <c r="C355" i="8"/>
  <c r="B354" i="8"/>
  <c r="C354" i="8"/>
  <c r="B353" i="8"/>
  <c r="C353" i="8"/>
  <c r="B352" i="8"/>
  <c r="C352" i="8"/>
  <c r="B351" i="8"/>
  <c r="C351" i="8"/>
  <c r="B350" i="8"/>
  <c r="C350" i="8"/>
  <c r="B349" i="8"/>
  <c r="C349" i="8"/>
  <c r="B348" i="8"/>
  <c r="C348" i="8"/>
  <c r="B347" i="8"/>
  <c r="C347" i="8"/>
  <c r="B346" i="8"/>
  <c r="C346" i="8"/>
  <c r="B345" i="8"/>
  <c r="C345" i="8"/>
  <c r="B344" i="8"/>
  <c r="C344" i="8"/>
  <c r="B343" i="8"/>
  <c r="C343" i="8"/>
  <c r="B342" i="8"/>
  <c r="C342" i="8"/>
  <c r="B341" i="8"/>
  <c r="C341" i="8"/>
  <c r="B340" i="8"/>
  <c r="C340" i="8"/>
  <c r="B339" i="8"/>
  <c r="C339" i="8"/>
  <c r="B338" i="8"/>
  <c r="C338" i="8"/>
  <c r="B337" i="8"/>
  <c r="C337" i="8"/>
  <c r="B336" i="8"/>
  <c r="C336" i="8"/>
  <c r="B335" i="8"/>
  <c r="C335" i="8"/>
  <c r="B334" i="8"/>
  <c r="C334" i="8"/>
  <c r="B333" i="8"/>
  <c r="C333" i="8"/>
  <c r="B332" i="8"/>
  <c r="C332" i="8"/>
  <c r="B331" i="8"/>
  <c r="C331" i="8"/>
  <c r="B330" i="8"/>
  <c r="C330" i="8"/>
  <c r="B329" i="8"/>
  <c r="C329" i="8"/>
  <c r="B328" i="8"/>
  <c r="C328" i="8"/>
  <c r="B327" i="8"/>
  <c r="C327" i="8"/>
  <c r="B326" i="8"/>
  <c r="C326" i="8"/>
  <c r="B325" i="8"/>
  <c r="C325" i="8"/>
  <c r="B324" i="8"/>
  <c r="C324" i="8"/>
  <c r="B323" i="8"/>
  <c r="C323" i="8"/>
  <c r="B322" i="8"/>
  <c r="C322" i="8"/>
  <c r="B321" i="8"/>
  <c r="C321" i="8"/>
  <c r="B320" i="8"/>
  <c r="C320" i="8"/>
  <c r="B319" i="8"/>
  <c r="C319" i="8"/>
  <c r="B318" i="8"/>
  <c r="C318" i="8"/>
  <c r="B317" i="8"/>
  <c r="C317" i="8"/>
  <c r="B316" i="8"/>
  <c r="C316" i="8"/>
  <c r="B315" i="8"/>
  <c r="C315" i="8"/>
  <c r="B314" i="8"/>
  <c r="C314" i="8"/>
  <c r="B313" i="8"/>
  <c r="C313" i="8"/>
  <c r="B312" i="8"/>
  <c r="C312" i="8"/>
  <c r="B311" i="8"/>
  <c r="C311" i="8"/>
  <c r="B310" i="8"/>
  <c r="C310" i="8"/>
  <c r="B309" i="8"/>
  <c r="C309" i="8"/>
  <c r="B308" i="8"/>
  <c r="C308" i="8"/>
  <c r="B307" i="8"/>
  <c r="C307" i="8"/>
  <c r="B306" i="8"/>
  <c r="C306" i="8"/>
  <c r="B305" i="8"/>
  <c r="C305" i="8"/>
  <c r="B304" i="8"/>
  <c r="C304" i="8"/>
  <c r="B303" i="8"/>
  <c r="C303" i="8"/>
  <c r="B302" i="8"/>
  <c r="C302" i="8"/>
  <c r="B301" i="8"/>
  <c r="C301" i="8"/>
  <c r="B300" i="8"/>
  <c r="C300" i="8"/>
  <c r="B299" i="8"/>
  <c r="C299" i="8"/>
  <c r="B298" i="8"/>
  <c r="C298" i="8"/>
  <c r="B297" i="8"/>
  <c r="C297" i="8"/>
  <c r="B296" i="8"/>
  <c r="C296" i="8"/>
  <c r="B295" i="8"/>
  <c r="C295" i="8"/>
  <c r="B294" i="8"/>
  <c r="C294" i="8"/>
  <c r="B293" i="8"/>
  <c r="C293" i="8"/>
  <c r="B292" i="8"/>
  <c r="C292" i="8"/>
  <c r="B291" i="8"/>
  <c r="C291" i="8"/>
  <c r="B290" i="8"/>
  <c r="C290" i="8"/>
  <c r="B289" i="8"/>
  <c r="C289" i="8"/>
  <c r="B288" i="8"/>
  <c r="C288" i="8"/>
  <c r="B287" i="8"/>
  <c r="C287" i="8"/>
  <c r="B286" i="8"/>
  <c r="C286" i="8"/>
  <c r="B285" i="8"/>
  <c r="C285" i="8"/>
  <c r="B284" i="8"/>
  <c r="C284" i="8"/>
  <c r="B283" i="8"/>
  <c r="C283" i="8"/>
  <c r="B282" i="8"/>
  <c r="C282" i="8"/>
  <c r="B281" i="8"/>
  <c r="C281" i="8"/>
  <c r="B280" i="8"/>
  <c r="C280" i="8"/>
  <c r="B279" i="8"/>
  <c r="C279" i="8"/>
  <c r="B278" i="8"/>
  <c r="C278" i="8"/>
  <c r="B277" i="8"/>
  <c r="C277" i="8"/>
  <c r="B276" i="8"/>
  <c r="C276" i="8"/>
  <c r="B275" i="8"/>
  <c r="C275" i="8"/>
  <c r="B274" i="8"/>
  <c r="C274" i="8"/>
  <c r="B273" i="8"/>
  <c r="C273" i="8"/>
  <c r="B272" i="8"/>
  <c r="C272" i="8"/>
  <c r="B271" i="8"/>
  <c r="C271" i="8"/>
  <c r="B270" i="8"/>
  <c r="C270" i="8"/>
  <c r="B269" i="8"/>
  <c r="C269" i="8"/>
  <c r="B268" i="8"/>
  <c r="C268" i="8"/>
  <c r="B267" i="8"/>
  <c r="C267" i="8"/>
  <c r="B266" i="8"/>
  <c r="C266" i="8"/>
  <c r="B265" i="8"/>
  <c r="C265" i="8"/>
  <c r="B264" i="8"/>
  <c r="C264" i="8"/>
  <c r="B263" i="8"/>
  <c r="C263" i="8"/>
  <c r="B262" i="8"/>
  <c r="C262" i="8"/>
  <c r="B261" i="8"/>
  <c r="C261" i="8"/>
  <c r="B260" i="8"/>
  <c r="C260" i="8"/>
  <c r="B259" i="8"/>
  <c r="C259" i="8"/>
  <c r="B258" i="8"/>
  <c r="C258" i="8"/>
  <c r="B257" i="8"/>
  <c r="C257" i="8"/>
  <c r="B256" i="8"/>
  <c r="C256" i="8"/>
  <c r="B255" i="8"/>
  <c r="C255" i="8"/>
  <c r="B254" i="8"/>
  <c r="C254" i="8"/>
  <c r="B253" i="8"/>
  <c r="C253" i="8"/>
  <c r="B252" i="8"/>
  <c r="C252" i="8"/>
  <c r="B251" i="8"/>
  <c r="C251" i="8"/>
  <c r="B250" i="8"/>
  <c r="C250" i="8"/>
  <c r="B249" i="8"/>
  <c r="C249" i="8"/>
  <c r="B248" i="8"/>
  <c r="C248" i="8"/>
  <c r="B237" i="8"/>
  <c r="C237" i="8"/>
  <c r="B236" i="8"/>
  <c r="C236" i="8"/>
  <c r="B235" i="8"/>
  <c r="C235" i="8"/>
  <c r="B234" i="8"/>
  <c r="C234" i="8"/>
  <c r="B233" i="8"/>
  <c r="C233" i="8"/>
  <c r="B232" i="8"/>
  <c r="C232" i="8"/>
  <c r="B231" i="8"/>
  <c r="C231" i="8"/>
  <c r="B230" i="8"/>
  <c r="C230" i="8"/>
  <c r="B229" i="8"/>
  <c r="C229" i="8"/>
  <c r="B228" i="8"/>
  <c r="C228" i="8"/>
  <c r="B227" i="8"/>
  <c r="C227" i="8"/>
  <c r="B226" i="8"/>
  <c r="C226" i="8"/>
  <c r="B225" i="8"/>
  <c r="C225" i="8"/>
  <c r="B224" i="8"/>
  <c r="C224" i="8"/>
  <c r="B223" i="8"/>
  <c r="C223" i="8"/>
  <c r="B222" i="8"/>
  <c r="C222" i="8"/>
  <c r="B221" i="8"/>
  <c r="C221" i="8"/>
  <c r="B220" i="8"/>
  <c r="C220" i="8"/>
  <c r="B219" i="8"/>
  <c r="C219" i="8"/>
  <c r="B218" i="8"/>
  <c r="C218" i="8"/>
  <c r="B217" i="8"/>
  <c r="C217" i="8"/>
  <c r="B216" i="8"/>
  <c r="C216" i="8"/>
  <c r="B215" i="8"/>
  <c r="C215" i="8"/>
  <c r="B214" i="8"/>
  <c r="C214" i="8"/>
  <c r="B213" i="8"/>
  <c r="C213" i="8"/>
  <c r="B212" i="8"/>
  <c r="C212" i="8"/>
  <c r="B211" i="8"/>
  <c r="C211" i="8"/>
  <c r="B210" i="8"/>
  <c r="C210" i="8"/>
  <c r="B209" i="8"/>
  <c r="C209" i="8"/>
  <c r="B208" i="8"/>
  <c r="C208" i="8"/>
  <c r="B207" i="8"/>
  <c r="C207" i="8"/>
  <c r="B206" i="8"/>
  <c r="C206" i="8"/>
  <c r="B205" i="8"/>
  <c r="C205" i="8"/>
  <c r="B204" i="8"/>
  <c r="C204" i="8"/>
  <c r="B203" i="8"/>
  <c r="C203" i="8"/>
  <c r="B202" i="8"/>
  <c r="C202" i="8"/>
  <c r="B201" i="8"/>
  <c r="C201" i="8"/>
  <c r="B200" i="8"/>
  <c r="C200" i="8"/>
  <c r="B199" i="8"/>
  <c r="C199" i="8"/>
  <c r="B198" i="8"/>
  <c r="C198" i="8"/>
  <c r="B197" i="8"/>
  <c r="C197" i="8"/>
  <c r="B196" i="8"/>
  <c r="C196" i="8"/>
  <c r="B195" i="8"/>
  <c r="C195" i="8"/>
  <c r="B194" i="8"/>
  <c r="C194" i="8"/>
  <c r="B193" i="8"/>
  <c r="C193" i="8"/>
  <c r="B192" i="8"/>
  <c r="C192" i="8"/>
  <c r="B191" i="8"/>
  <c r="C191" i="8"/>
  <c r="B190" i="8"/>
  <c r="C190" i="8"/>
  <c r="B189" i="8"/>
  <c r="C189" i="8"/>
  <c r="B188" i="8"/>
  <c r="C188" i="8"/>
  <c r="B187" i="8"/>
  <c r="C187" i="8"/>
  <c r="B186" i="8"/>
  <c r="C186" i="8"/>
  <c r="B185" i="8"/>
  <c r="C185" i="8"/>
  <c r="B184" i="8"/>
  <c r="C184" i="8"/>
  <c r="B183" i="8"/>
  <c r="C183" i="8"/>
  <c r="B182" i="8"/>
  <c r="C182" i="8"/>
  <c r="B181" i="8"/>
  <c r="C181" i="8"/>
  <c r="B176" i="8"/>
  <c r="B177" i="8"/>
  <c r="B178" i="8"/>
  <c r="B179" i="8"/>
  <c r="B180" i="8"/>
  <c r="C176" i="8"/>
  <c r="C177" i="8"/>
  <c r="C178" i="8"/>
  <c r="C179" i="8"/>
  <c r="C180" i="8"/>
  <c r="B175" i="8"/>
  <c r="C175" i="8"/>
  <c r="B170" i="8"/>
  <c r="B171" i="8"/>
  <c r="B172" i="8"/>
  <c r="B173" i="8"/>
  <c r="B174" i="8"/>
  <c r="C170" i="8"/>
  <c r="C171" i="8"/>
  <c r="C172" i="8"/>
  <c r="C173" i="8"/>
  <c r="C174" i="8"/>
  <c r="B169" i="8"/>
  <c r="C169" i="8"/>
  <c r="B164" i="8"/>
  <c r="B165" i="8"/>
  <c r="B166" i="8"/>
  <c r="B167" i="8"/>
  <c r="B168" i="8"/>
  <c r="C164" i="8"/>
  <c r="C165" i="8"/>
  <c r="C166" i="8"/>
  <c r="C167" i="8"/>
  <c r="C168" i="8"/>
  <c r="B163" i="8"/>
  <c r="C163" i="8"/>
  <c r="B153" i="8"/>
  <c r="C153" i="8"/>
  <c r="B162" i="8"/>
  <c r="C162" i="8"/>
  <c r="B161" i="8"/>
  <c r="C161" i="8"/>
  <c r="B160" i="8"/>
  <c r="C160" i="8"/>
  <c r="B159" i="8"/>
  <c r="B158" i="8"/>
  <c r="C158" i="8"/>
  <c r="B157" i="8"/>
  <c r="C157" i="8"/>
  <c r="B156" i="8"/>
  <c r="C156" i="8"/>
  <c r="B155" i="8"/>
  <c r="C155" i="8"/>
  <c r="B154" i="8"/>
  <c r="C154" i="8"/>
  <c r="B152" i="8"/>
  <c r="C152" i="8"/>
  <c r="B151" i="8"/>
  <c r="C151" i="8"/>
  <c r="B150" i="8"/>
  <c r="C150" i="8"/>
  <c r="B149" i="8"/>
  <c r="C149" i="8"/>
  <c r="B142" i="8"/>
  <c r="C142" i="8"/>
  <c r="B140" i="8"/>
  <c r="C140" i="8"/>
  <c r="B139" i="8"/>
  <c r="C139" i="8"/>
  <c r="B141" i="8"/>
  <c r="C141" i="8"/>
  <c r="B138" i="8"/>
  <c r="C138" i="8"/>
  <c r="B148" i="8"/>
  <c r="C148" i="8"/>
  <c r="B147" i="8"/>
  <c r="C147" i="8"/>
  <c r="B146" i="8"/>
  <c r="C146" i="8"/>
  <c r="B145" i="8"/>
  <c r="C145" i="8"/>
  <c r="B144" i="8"/>
  <c r="C144" i="8"/>
  <c r="B143" i="8"/>
  <c r="C143" i="8"/>
  <c r="B137" i="8"/>
  <c r="C137" i="8"/>
  <c r="B136" i="8"/>
  <c r="C136" i="8"/>
  <c r="B135" i="8"/>
  <c r="C135" i="8"/>
  <c r="B134" i="8"/>
  <c r="C134" i="8"/>
  <c r="B133" i="8"/>
  <c r="C133" i="8"/>
  <c r="B132" i="8"/>
  <c r="C132" i="8"/>
  <c r="B131" i="8"/>
  <c r="C131" i="8"/>
  <c r="B130" i="8"/>
  <c r="C130" i="8"/>
  <c r="B129" i="8"/>
  <c r="C129" i="8"/>
  <c r="B128" i="8"/>
  <c r="C128" i="8"/>
  <c r="B127" i="8"/>
  <c r="C127" i="8"/>
  <c r="C125" i="8"/>
  <c r="B126" i="8"/>
  <c r="C126" i="8"/>
  <c r="B124" i="8"/>
  <c r="C124" i="8"/>
  <c r="B123" i="8"/>
  <c r="C123" i="8"/>
  <c r="B122" i="8"/>
  <c r="C122" i="8"/>
  <c r="B121" i="8"/>
  <c r="C121" i="8"/>
  <c r="B120" i="8"/>
  <c r="C120" i="8"/>
  <c r="B119" i="8"/>
  <c r="C119" i="8"/>
  <c r="B118" i="8"/>
  <c r="C118" i="8"/>
  <c r="B117" i="8"/>
  <c r="C117" i="8"/>
  <c r="B116" i="8"/>
  <c r="C116" i="8"/>
  <c r="B115" i="8"/>
  <c r="C115" i="8"/>
  <c r="B114" i="8"/>
  <c r="C114" i="8"/>
  <c r="B113" i="8"/>
  <c r="C113" i="8"/>
  <c r="B112" i="8"/>
  <c r="C112" i="8"/>
  <c r="B111" i="8"/>
  <c r="C111" i="8"/>
  <c r="B110" i="8"/>
  <c r="C110" i="8"/>
  <c r="B109" i="8"/>
  <c r="C109" i="8"/>
  <c r="B108" i="8"/>
  <c r="C108" i="8"/>
  <c r="B107" i="8"/>
  <c r="C107" i="8"/>
  <c r="B106" i="8"/>
  <c r="C106" i="8"/>
  <c r="B105" i="8"/>
  <c r="C105" i="8"/>
  <c r="B104" i="8"/>
  <c r="C104" i="8"/>
  <c r="B103" i="8"/>
  <c r="C103" i="8"/>
  <c r="B102" i="8"/>
  <c r="C102" i="8"/>
  <c r="B101" i="8"/>
  <c r="C101" i="8"/>
  <c r="B100" i="8"/>
  <c r="C100" i="8"/>
  <c r="B99" i="8"/>
  <c r="C99" i="8"/>
  <c r="B98" i="8"/>
  <c r="C98" i="8"/>
  <c r="B97" i="8"/>
  <c r="C97" i="8"/>
  <c r="B94" i="8"/>
  <c r="C94" i="8"/>
  <c r="B96" i="8"/>
  <c r="C96" i="8"/>
  <c r="B95" i="8"/>
  <c r="C95" i="8"/>
  <c r="B93" i="8"/>
  <c r="C93" i="8"/>
  <c r="B92" i="8"/>
  <c r="C92" i="8"/>
  <c r="B91" i="8"/>
  <c r="C91" i="8"/>
  <c r="B90" i="8"/>
  <c r="C90" i="8"/>
  <c r="B89" i="8"/>
  <c r="C89" i="8"/>
  <c r="B88" i="8"/>
  <c r="C88" i="8"/>
  <c r="B87" i="8"/>
  <c r="C87" i="8"/>
  <c r="B86" i="8"/>
  <c r="C86" i="8"/>
  <c r="B85" i="8"/>
  <c r="C85" i="8"/>
  <c r="B84" i="8"/>
  <c r="C84" i="8"/>
  <c r="B83" i="8"/>
  <c r="C83" i="8"/>
  <c r="B82" i="8"/>
  <c r="C82" i="8"/>
  <c r="B81" i="8"/>
  <c r="C81" i="8"/>
  <c r="B80" i="8"/>
  <c r="C80" i="8"/>
  <c r="B79" i="8"/>
  <c r="C79" i="8"/>
  <c r="B78" i="8"/>
  <c r="C78" i="8"/>
  <c r="B77" i="8"/>
  <c r="C77" i="8"/>
  <c r="B76" i="8"/>
  <c r="C76" i="8"/>
  <c r="B75" i="8"/>
  <c r="C75" i="8"/>
  <c r="B74" i="8"/>
  <c r="C74" i="8"/>
  <c r="B73" i="8"/>
  <c r="C73" i="8"/>
  <c r="B72" i="8"/>
  <c r="C72" i="8"/>
  <c r="B71" i="8"/>
  <c r="C71" i="8"/>
  <c r="B70" i="8"/>
  <c r="C70" i="8"/>
  <c r="B69" i="8"/>
  <c r="C69" i="8"/>
  <c r="B68" i="8"/>
  <c r="C68" i="8"/>
  <c r="C62" i="8"/>
  <c r="B62" i="8"/>
  <c r="C61" i="8"/>
  <c r="B61" i="8"/>
  <c r="C60" i="8"/>
  <c r="B60" i="8"/>
  <c r="C59" i="8"/>
  <c r="B59" i="8"/>
  <c r="C58" i="8"/>
  <c r="B58" i="8"/>
  <c r="C57" i="8"/>
  <c r="B57" i="8"/>
  <c r="C56" i="8"/>
  <c r="B56" i="8"/>
  <c r="B55" i="8"/>
  <c r="C55" i="8"/>
  <c r="B54" i="8"/>
  <c r="C54" i="8"/>
  <c r="B67" i="8"/>
  <c r="C67" i="8"/>
  <c r="B66" i="8"/>
  <c r="C66" i="8"/>
  <c r="B65" i="8"/>
  <c r="C65" i="8"/>
  <c r="B64" i="8"/>
  <c r="C64" i="8"/>
  <c r="B47" i="8"/>
  <c r="C47" i="8"/>
  <c r="B45" i="8"/>
  <c r="C45" i="8"/>
  <c r="B43" i="8"/>
  <c r="C43" i="8"/>
  <c r="B63" i="8"/>
  <c r="C63" i="8"/>
  <c r="B53" i="8"/>
  <c r="C53" i="8"/>
  <c r="B52" i="8"/>
  <c r="C52" i="8"/>
  <c r="B51" i="8"/>
  <c r="C51" i="8"/>
  <c r="B50" i="8"/>
  <c r="C50" i="8"/>
  <c r="B49" i="8"/>
  <c r="C49" i="8"/>
  <c r="B48" i="8"/>
  <c r="C48" i="8"/>
  <c r="B46" i="8"/>
  <c r="C46" i="8"/>
  <c r="B44" i="8"/>
  <c r="C44" i="8"/>
  <c r="B42" i="8"/>
  <c r="C42" i="8"/>
  <c r="B41" i="8"/>
  <c r="C41" i="8"/>
  <c r="B40" i="8"/>
  <c r="C40" i="8"/>
  <c r="B39" i="8"/>
  <c r="C39" i="8"/>
  <c r="B38" i="8"/>
  <c r="C38" i="8"/>
  <c r="B37" i="8"/>
  <c r="C37" i="8"/>
  <c r="B36" i="8"/>
  <c r="C36" i="8"/>
  <c r="B33" i="8"/>
  <c r="B34" i="8"/>
  <c r="B35" i="8"/>
  <c r="C33" i="8"/>
  <c r="C34" i="8"/>
  <c r="C35" i="8"/>
  <c r="B32" i="8"/>
  <c r="C32" i="8"/>
  <c r="B31" i="8"/>
  <c r="C31" i="8"/>
  <c r="B29" i="8"/>
  <c r="B30" i="8"/>
  <c r="C29" i="8"/>
  <c r="C30" i="8"/>
  <c r="B28" i="8"/>
  <c r="C28" i="8"/>
  <c r="B27" i="8"/>
  <c r="C27" i="8"/>
  <c r="B26" i="8"/>
  <c r="C26" i="8"/>
  <c r="B25" i="8"/>
  <c r="C25" i="8"/>
  <c r="B24" i="8"/>
  <c r="C24" i="8"/>
  <c r="B23" i="8"/>
  <c r="C23" i="8"/>
  <c r="B22" i="8"/>
  <c r="C22" i="8"/>
  <c r="B21" i="8"/>
  <c r="C21" i="8"/>
  <c r="B20" i="8"/>
  <c r="C20" i="8"/>
  <c r="B19" i="8"/>
  <c r="C19" i="8"/>
  <c r="B18" i="8"/>
  <c r="C18" i="8"/>
  <c r="B17" i="8"/>
  <c r="C17" i="8"/>
  <c r="B16" i="8"/>
  <c r="C16" i="8"/>
  <c r="B14" i="8"/>
  <c r="C14" i="8"/>
  <c r="C15" i="8"/>
  <c r="B6" i="10" l="1" a="1"/>
  <c r="B6" i="10" s="1"/>
  <c r="I5" i="11"/>
  <c r="I4" i="11"/>
  <c r="I6" i="11"/>
  <c r="I7" i="11"/>
  <c r="C159" i="8"/>
  <c r="J6" i="11" l="1"/>
  <c r="J7" i="11"/>
  <c r="J4" i="11"/>
  <c r="J5" i="1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<sst xmlns="http://schemas.openxmlformats.org/spreadsheetml/2006/main" count="3687" uniqueCount="1362">
  <si>
    <t>Tarea</t>
  </si>
  <si>
    <t>Epicas</t>
  </si>
  <si>
    <t>Historia de Usuario</t>
  </si>
  <si>
    <t>HU 1.1</t>
  </si>
  <si>
    <t>Nombre</t>
  </si>
  <si>
    <t>Prioridad</t>
  </si>
  <si>
    <t>Estado</t>
  </si>
  <si>
    <t>EP-01</t>
  </si>
  <si>
    <t>EP-02</t>
  </si>
  <si>
    <t>EP-03</t>
  </si>
  <si>
    <t>EP-04</t>
  </si>
  <si>
    <t>ID_Historia</t>
  </si>
  <si>
    <t>ID_Epica</t>
  </si>
  <si>
    <t>Estados_HU</t>
  </si>
  <si>
    <t>Pendiente</t>
  </si>
  <si>
    <t>En Desarrollo</t>
  </si>
  <si>
    <t>En QA</t>
  </si>
  <si>
    <t>Finalizada</t>
  </si>
  <si>
    <t>Prioridades</t>
  </si>
  <si>
    <t>Alta</t>
  </si>
  <si>
    <t>Media</t>
  </si>
  <si>
    <t>Baja</t>
  </si>
  <si>
    <t>Responsables</t>
  </si>
  <si>
    <t xml:space="preserve">Christian </t>
  </si>
  <si>
    <t>Matías</t>
  </si>
  <si>
    <t>Sebastián</t>
  </si>
  <si>
    <t>Historias de Usuario</t>
  </si>
  <si>
    <t>Épica</t>
  </si>
  <si>
    <t>Tareas</t>
  </si>
  <si>
    <t>ID_Tarea</t>
  </si>
  <si>
    <t>Definir el modelo de datos v1 para la base de datos general del sistema</t>
  </si>
  <si>
    <t>Estados</t>
  </si>
  <si>
    <t>En Proceso</t>
  </si>
  <si>
    <t>Sin Iniciar</t>
  </si>
  <si>
    <t>CONF_01</t>
  </si>
  <si>
    <t>Crear un repositorio en GitHub para trabajar ambas aplicaciones (Web y Móvil)</t>
  </si>
  <si>
    <t>CONF_02</t>
  </si>
  <si>
    <t>CONF_03</t>
  </si>
  <si>
    <t>CONF_04</t>
  </si>
  <si>
    <t>CONF_05</t>
  </si>
  <si>
    <t>CONF_06</t>
  </si>
  <si>
    <t>Establecer la conexión con la base de datos de Supabase (Django)</t>
  </si>
  <si>
    <r>
      <t xml:space="preserve">Crear el esquema inicial de la base de datos (tablas principales: </t>
    </r>
    <r>
      <rPr>
        <sz val="10"/>
        <color theme="1"/>
        <rFont val="Arial Unicode MS"/>
        <family val="2"/>
      </rPr>
      <t>Usuarios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  <family val="2"/>
      </rPr>
      <t>Vehiculos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  <family val="2"/>
      </rPr>
      <t>Talleres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  <family val="2"/>
      </rPr>
      <t>Roles</t>
    </r>
    <r>
      <rPr>
        <sz val="11"/>
        <color theme="1"/>
        <rFont val="Calibri"/>
        <family val="2"/>
        <scheme val="minor"/>
      </rPr>
      <t>)</t>
    </r>
  </si>
  <si>
    <t>Crear el proyecto en Supabase</t>
  </si>
  <si>
    <t>Configurar entornos virtuales de Python (venv)</t>
  </si>
  <si>
    <t>Crear el proyecto en Django</t>
  </si>
  <si>
    <t>Crear el proyecto en Android Studio con Kotlin</t>
  </si>
  <si>
    <t>Configurar las dependencias de Jetpack Compose.</t>
  </si>
  <si>
    <t>CONF_07</t>
  </si>
  <si>
    <t>CONF_08</t>
  </si>
  <si>
    <t>CONF_09</t>
  </si>
  <si>
    <t>No Aplica</t>
  </si>
  <si>
    <t>Autenticación y Acceso</t>
  </si>
  <si>
    <t>Como usuario del sistema quiero poder iniciar y cerrar sesión para acceder a las funcionalidades según mi rol</t>
  </si>
  <si>
    <t>Crear formulario de inicio de sesión con campos 'email' y 'contraseña'</t>
  </si>
  <si>
    <t>WEB_001</t>
  </si>
  <si>
    <t>Habilitar autenticación con email y contraseña en Supabase</t>
  </si>
  <si>
    <t>AUTH_001</t>
  </si>
  <si>
    <t>WEB_002</t>
  </si>
  <si>
    <t>WEB_003</t>
  </si>
  <si>
    <t>WEB_004</t>
  </si>
  <si>
    <t>Mostrar mensaje de error si las credenciales son incorrectas</t>
  </si>
  <si>
    <t>WEB_005</t>
  </si>
  <si>
    <t>Mostrar mensaje de bienvenida al iniciar sesión exitosamente</t>
  </si>
  <si>
    <t>WEB_006</t>
  </si>
  <si>
    <t>Redirigir al usuario según su rol (Super Admin, Admin SIGVE, Admin Taller, Mecánico, Jefe Cuartel)</t>
  </si>
  <si>
    <t>WEB_007</t>
  </si>
  <si>
    <t>Crear botón "Iniciar Sesión" para enviar credenciales</t>
  </si>
  <si>
    <t>Validar que el campo "email" tenga formato de correo válido</t>
  </si>
  <si>
    <t>Validar que el campo "contraseña" no esté vacío</t>
  </si>
  <si>
    <t>WEB_008</t>
  </si>
  <si>
    <t>Implementar botón "Olvidé mi contraseña" en el formulario de login</t>
  </si>
  <si>
    <t>Crear botón 'Cerrar Sesión' en la barra de navegación</t>
  </si>
  <si>
    <t>WEB_009</t>
  </si>
  <si>
    <t>Mostrar mensaje informativo al cerrar sesión</t>
  </si>
  <si>
    <t>WEB_010</t>
  </si>
  <si>
    <t>Implementar página de 'No Autorizado' con código HTTP 403 cuando el usuario no tiene permisos</t>
  </si>
  <si>
    <t>WEB_011</t>
  </si>
  <si>
    <t>APP_001</t>
  </si>
  <si>
    <t>APP_002</t>
  </si>
  <si>
    <t>APP_003</t>
  </si>
  <si>
    <t>APP_004</t>
  </si>
  <si>
    <t>APP_005</t>
  </si>
  <si>
    <t>APP_006</t>
  </si>
  <si>
    <t>APP_007</t>
  </si>
  <si>
    <t>APP_008</t>
  </si>
  <si>
    <t>APP_009</t>
  </si>
  <si>
    <t>Administración Central SIGVE</t>
  </si>
  <si>
    <t>HU 2.1</t>
  </si>
  <si>
    <t>Como Admin SIGVE quiero visualizar un dashboard con estadísticas globales del sistema para tener una visión completa de talleres, cuarteles y vehículos</t>
  </si>
  <si>
    <t>Crear página dashboard con verificación de roles para unicamente permitir a usuarios "Admin SIGVE"</t>
  </si>
  <si>
    <t>WEB_012</t>
  </si>
  <si>
    <t>Crear tarjeta con total de talleres registrados</t>
  </si>
  <si>
    <t>Crear tarjeta con total de cuarteles registrados</t>
  </si>
  <si>
    <t>Crear tarjeta con total de vehículos en el sistema</t>
  </si>
  <si>
    <t>Crear tarjeta con total de solicitudes pendientes</t>
  </si>
  <si>
    <t>Enlaces en cada tarjeta para navegar a la sección correspondiente</t>
  </si>
  <si>
    <t>Implementar gráfico circular con estado de vehículos (Disponibles vs En Mantención)</t>
  </si>
  <si>
    <t>Crear botón "Cerrar Sesión" en la barra de navegación</t>
  </si>
  <si>
    <t>Crear botón rápido "Solicitudes Pendientes" con badge de cantidad</t>
  </si>
  <si>
    <t>Creat botón rápido "Crear Taller" que abre un formulario modal para la creación de taller</t>
  </si>
  <si>
    <t>Crear botón rápido "Crear Cuartel" que abre formulario modal para la creación de cuarteles</t>
  </si>
  <si>
    <t>Crear botón rápido "Crear Repuesto" que abre formulario modal para la creación de cuarteles</t>
  </si>
  <si>
    <t>Listado de actividad reciente con fechas</t>
  </si>
  <si>
    <t>Mapa interactivo mostrando ubicaciones de talleres y cuarteles</t>
  </si>
  <si>
    <t>Controles para filtrar talleres y cuarteles en el mapa</t>
  </si>
  <si>
    <t>Marcadores del mapa diferenciados por color (Azul=Talleres, Rojo=Cuarteles)</t>
  </si>
  <si>
    <t>Popup con información al hacer clic en un marcador</t>
  </si>
  <si>
    <t>WEB_013</t>
  </si>
  <si>
    <t>WEB_014</t>
  </si>
  <si>
    <t>WEB_015</t>
  </si>
  <si>
    <t>WEB_016</t>
  </si>
  <si>
    <t>WEB_017</t>
  </si>
  <si>
    <t>WEB_018</t>
  </si>
  <si>
    <t>WEB_019</t>
  </si>
  <si>
    <t>WEB_020</t>
  </si>
  <si>
    <t>WEB_021</t>
  </si>
  <si>
    <t>WEB_022</t>
  </si>
  <si>
    <t>WEB_023</t>
  </si>
  <si>
    <t>WEB_024</t>
  </si>
  <si>
    <t>WEB_025</t>
  </si>
  <si>
    <t>WEB_026</t>
  </si>
  <si>
    <t>WEB_027</t>
  </si>
  <si>
    <t>HU 2.2</t>
  </si>
  <si>
    <t>Como Admin SIGVE quiero gestionar el catálogo de talleres para mantener actualizada la red de mantenimiento</t>
  </si>
  <si>
    <t>WEB_028</t>
  </si>
  <si>
    <t>Tabla con listado de talleres (nombre, dirección, teléfono, email)</t>
  </si>
  <si>
    <t>WEB_029</t>
  </si>
  <si>
    <t>Crear formulario para la creación de talleres</t>
  </si>
  <si>
    <t>Crear formulario para la creación de cuarteles</t>
  </si>
  <si>
    <t>WEB_030</t>
  </si>
  <si>
    <t>Crear formulario para la creación de repuestos</t>
  </si>
  <si>
    <t>WEB_031</t>
  </si>
  <si>
    <t>WEB_032</t>
  </si>
  <si>
    <t>Botón "Crear Taller" para abrir formulario modal de creación de talleres</t>
  </si>
  <si>
    <t>Botón "Editar" en cada fila del taller que abre formulario modal en modo "Edición"</t>
  </si>
  <si>
    <t>Botón "Eliminar" en cada fila con confirmación</t>
  </si>
  <si>
    <t>Aplicar mensaje 'No hay talleres registrados' cuando la lista está vacía</t>
  </si>
  <si>
    <t>WEB_033</t>
  </si>
  <si>
    <t>WEB_034</t>
  </si>
  <si>
    <t>WEB_035</t>
  </si>
  <si>
    <t>WEB_036</t>
  </si>
  <si>
    <t>HU 2.3</t>
  </si>
  <si>
    <t>HU 2.4</t>
  </si>
  <si>
    <t>HU 2.5</t>
  </si>
  <si>
    <t>HU 2.6</t>
  </si>
  <si>
    <t>Como Admin SIGVE quiero crear un nuevo taller para amplicar la red de mantenimiento</t>
  </si>
  <si>
    <t>Crear modal "Crear Taller" con formulario, actualizar formulario dashboard</t>
  </si>
  <si>
    <t>Campo obligatorio "Nombre del Taller"</t>
  </si>
  <si>
    <t>Campos ocultos "Latitud" y "Longitud" que se completan automáticamente al presionar botón "Buscar Dirección"</t>
  </si>
  <si>
    <t>Campo obligatorio "Dirección" con autocompletado de Google Maps</t>
  </si>
  <si>
    <t>Campo opcional 'Teléfono'</t>
  </si>
  <si>
    <t>Campo opcional "Teléfono"</t>
  </si>
  <si>
    <t>Campo opcional "Email" con validación de formato</t>
  </si>
  <si>
    <t>Botón "Guardar" y "Cancelar"</t>
  </si>
  <si>
    <t xml:space="preserve">Mensaje de éxito al crear el taller </t>
  </si>
  <si>
    <t xml:space="preserve">Recargar listado automáticamente </t>
  </si>
  <si>
    <t>WEB_037</t>
  </si>
  <si>
    <t>WEB_038</t>
  </si>
  <si>
    <t>WEB_039</t>
  </si>
  <si>
    <t>WEB_040</t>
  </si>
  <si>
    <t>WEB_041</t>
  </si>
  <si>
    <t>WEB_042</t>
  </si>
  <si>
    <t>WEB_043</t>
  </si>
  <si>
    <t>WEB_044</t>
  </si>
  <si>
    <t>WEB_045</t>
  </si>
  <si>
    <t>Como Admin SIGVE quiero editar información de un taller para mantener los datos actualizados</t>
  </si>
  <si>
    <t>Modal "Editar Taller" con datos pre-cargados</t>
  </si>
  <si>
    <t>Permitir edición de todos los campos</t>
  </si>
  <si>
    <t>Actualizar coordenadas si cambia la dirección</t>
  </si>
  <si>
    <t>Botón 'Actualizar'</t>
  </si>
  <si>
    <t>Mensaje de éxito al actualizar</t>
  </si>
  <si>
    <t>Aplicar lógica modal "Modo Edición" y "Modo Lectura"</t>
  </si>
  <si>
    <t>WEB_046</t>
  </si>
  <si>
    <t>WEB_047</t>
  </si>
  <si>
    <t>WEB_048</t>
  </si>
  <si>
    <t>WEB_049</t>
  </si>
  <si>
    <t>WEB_050</t>
  </si>
  <si>
    <t>Como Admin SIGVE quiero eliminar un taller para remover talleres que ya no operan</t>
  </si>
  <si>
    <t>WEB_051</t>
  </si>
  <si>
    <t>Modal de confirmación antes de eliminar</t>
  </si>
  <si>
    <t>Aplicar modal de confirmación antes de eliminar</t>
  </si>
  <si>
    <t>WEB_052</t>
  </si>
  <si>
    <t>Mensaje de error si el taller tiene empleados o datos asociados</t>
  </si>
  <si>
    <t>Mensaje de éxito al eliminar correctamente</t>
  </si>
  <si>
    <t>WEB_053</t>
  </si>
  <si>
    <t>Como Admin SIGVE quiero crear un nuevo cuartel para registrar nuevas estaciones de bomberos y ampliar la red de cuarteles</t>
  </si>
  <si>
    <t>WEB_054</t>
  </si>
  <si>
    <t>Crear modal "Crear Cuartel" con formulario, actualizar formulario dashboard</t>
  </si>
  <si>
    <t>Campo obligatorio "Nombre del Cuartel"</t>
  </si>
  <si>
    <t>Dropdown obligatorio "Comuna" con lista completa de comunas de Chile</t>
  </si>
  <si>
    <t>Campo obligatorio "Dirección" con autocompletado</t>
  </si>
  <si>
    <t>Mensaje de éxito al crear</t>
  </si>
  <si>
    <t>Mensaje de éxito al crear cuartel</t>
  </si>
  <si>
    <t>WEB_055</t>
  </si>
  <si>
    <t>WEB_056</t>
  </si>
  <si>
    <t>WEB_057</t>
  </si>
  <si>
    <t>WEB_058</t>
  </si>
  <si>
    <t>WEB_059</t>
  </si>
  <si>
    <t>WEB_060</t>
  </si>
  <si>
    <t>HU 2.7</t>
  </si>
  <si>
    <t>Como Admin SIGVE quiero gestionar el catálogo de cuarteles de bomberos para mantener actualizada la red de cuarteles.</t>
  </si>
  <si>
    <t>WEB_061</t>
  </si>
  <si>
    <t>Tabla con listado de cuarteles (nombre, dirección, comuna)</t>
  </si>
  <si>
    <t>Botón 'Crear Cuartel' para abrir formulario modal de creación de cuarteles</t>
  </si>
  <si>
    <t>WEB_062</t>
  </si>
  <si>
    <t>WEB_063</t>
  </si>
  <si>
    <t>WEB_064</t>
  </si>
  <si>
    <t>WEB_065</t>
  </si>
  <si>
    <t>Como Admin SIGVE quiero editar información de un cuartel para actualizar sus datos de contexto y ubicación</t>
  </si>
  <si>
    <t>HU 2.8</t>
  </si>
  <si>
    <t>WEB_066</t>
  </si>
  <si>
    <t>Modal 'Editar Cuartel' con datos pre-cargados</t>
  </si>
  <si>
    <t>Permitir edición de nombre, dirección y comuna</t>
  </si>
  <si>
    <t>Actualizar coordenadas automáticamente al presionar "Buscar Dirección"</t>
  </si>
  <si>
    <t xml:space="preserve">Botón 'Actualizar' </t>
  </si>
  <si>
    <t>WEB_067</t>
  </si>
  <si>
    <t>WEB_068</t>
  </si>
  <si>
    <t>WEB_069</t>
  </si>
  <si>
    <t>WEB_070</t>
  </si>
  <si>
    <t>HU 2.9</t>
  </si>
  <si>
    <t>Como Admin SIGVE quiero eliminar un cuartel para remover estaciones que ya no están operativas</t>
  </si>
  <si>
    <t>WEB_071</t>
  </si>
  <si>
    <t>WEB_072</t>
  </si>
  <si>
    <t>Mensaje de error si el cuartel tiene vehículos asociados</t>
  </si>
  <si>
    <t>WEB_073</t>
  </si>
  <si>
    <t>WEB_074</t>
  </si>
  <si>
    <t>Como Admin SIGVE quiero crear un nuevo repuesto maestros para que este disponible para todos los talleres</t>
  </si>
  <si>
    <t>HU 2.10</t>
  </si>
  <si>
    <t>Mensaje "No hay cuarteles registrados" cuando la lista está vacía</t>
  </si>
  <si>
    <t>Botón "Editar" en cada fila que abre formulario modal en "Modo Edición"</t>
  </si>
  <si>
    <t>Crear modal "Crear Repuesto" con formulario, actualizar formulario dashboard</t>
  </si>
  <si>
    <t>WEB_075</t>
  </si>
  <si>
    <t>Campo obligatorio "Nombre del Repuesto"</t>
  </si>
  <si>
    <t>Campo obligatorio "SKU (Código SIGVE)"</t>
  </si>
  <si>
    <t>Campo opcional "Marca"</t>
  </si>
  <si>
    <t>Campo opcional "Descripción" en textarea</t>
  </si>
  <si>
    <t>Validar que el SKU no esté duplicado</t>
  </si>
  <si>
    <t>WEB_076</t>
  </si>
  <si>
    <t>WEB_077</t>
  </si>
  <si>
    <t>WEB_078</t>
  </si>
  <si>
    <t>WEB_079</t>
  </si>
  <si>
    <t>WEB_080</t>
  </si>
  <si>
    <t>WEB_081</t>
  </si>
  <si>
    <t>WEB_082</t>
  </si>
  <si>
    <t>Como Admin SIGVE quiero gestionar el catálogo maestro de repuestos para estandarizar los repuestos disponibles en el sistema</t>
  </si>
  <si>
    <t>HU 2.11</t>
  </si>
  <si>
    <t>WEB_083</t>
  </si>
  <si>
    <t>Tabla con listado de repuestos (nombre, SKU, marca, descripción)</t>
  </si>
  <si>
    <t>WEB_084</t>
  </si>
  <si>
    <t>Mensaje "No hay repuestos registrados" cuando la lista está vacía</t>
  </si>
  <si>
    <t>WEB_085</t>
  </si>
  <si>
    <t>WEB_086</t>
  </si>
  <si>
    <t>WEB_087</t>
  </si>
  <si>
    <t>Como Admin SIGVE quiero editar un repuesto maestro para actualizar su información</t>
  </si>
  <si>
    <t>HU 2.12</t>
  </si>
  <si>
    <t>WEB_088</t>
  </si>
  <si>
    <t>WEB_089</t>
  </si>
  <si>
    <t>Modal "Editar Repuesto" con datos pre-cargados</t>
  </si>
  <si>
    <t>Botón "Actualizar"</t>
  </si>
  <si>
    <t>WEB_090</t>
  </si>
  <si>
    <t>WEB_091</t>
  </si>
  <si>
    <t>WEB_092</t>
  </si>
  <si>
    <t>HU 2.13</t>
  </si>
  <si>
    <t>Como Admin SIGVE quiero eliminar un repuesto maesto para mantener solo repuestos vigentes</t>
  </si>
  <si>
    <t>Mensaje de error si el repuesto está en uso</t>
  </si>
  <si>
    <t>Mensaje de éxito al eliminar</t>
  </si>
  <si>
    <t>WEB_093</t>
  </si>
  <si>
    <t>WEB_094</t>
  </si>
  <si>
    <t>WEB_095</t>
  </si>
  <si>
    <t>HU 2.14</t>
  </si>
  <si>
    <t>Como Admin SIGVE quiero crear un proveedor global para que todos los talleres puedan usarlo</t>
  </si>
  <si>
    <t>WEB_096</t>
  </si>
  <si>
    <t>Crear modal "Crear Proveeor" con formulario</t>
  </si>
  <si>
    <t>Campo obligatorio 'Nombre del Proveedor'</t>
  </si>
  <si>
    <t>Campo opcional 'RUT'</t>
  </si>
  <si>
    <t>Campo opcional 'Dirección'</t>
  </si>
  <si>
    <t>Campo opcional 'Email' con validación</t>
  </si>
  <si>
    <t>WEB_097</t>
  </si>
  <si>
    <t>WEB_098</t>
  </si>
  <si>
    <t>WEB_099</t>
  </si>
  <si>
    <t>WEB_100</t>
  </si>
  <si>
    <t>WEB_101</t>
  </si>
  <si>
    <t>WEB_102</t>
  </si>
  <si>
    <t>WEB_103</t>
  </si>
  <si>
    <t>HU 2.15</t>
  </si>
  <si>
    <t>Como Admin SIGVE quiero gestionar el catálogo de proveedores globalres para que esten disponibles parar todos los talleres</t>
  </si>
  <si>
    <t>WEB_104</t>
  </si>
  <si>
    <t>Tabla con listado de proveedores (nombre, RUT, dirección, teléfono, email)</t>
  </si>
  <si>
    <t>WEB_105</t>
  </si>
  <si>
    <t>Botón "Crear Proveedor" para abrir formulario modal de creación de proveedores</t>
  </si>
  <si>
    <t>Mensaje "No hay proveedores registrados" cuando la lista está vacía</t>
  </si>
  <si>
    <t>WEB_106</t>
  </si>
  <si>
    <t>WEB_107</t>
  </si>
  <si>
    <t>WEB_108</t>
  </si>
  <si>
    <t>Como Admin SIGVE quiero editar un proveedor global para mantener sus datos actualizados</t>
  </si>
  <si>
    <t>HU 2.16</t>
  </si>
  <si>
    <t>WEB_109</t>
  </si>
  <si>
    <t>Modal "Editar Proveedor" con datos pre-cargados</t>
  </si>
  <si>
    <t>WEB_110</t>
  </si>
  <si>
    <t>WEB_111</t>
  </si>
  <si>
    <t>WEB_112</t>
  </si>
  <si>
    <t>Como Admin SIGVE quiero eliminar un proveedor para mantener solo proveedores activos</t>
  </si>
  <si>
    <t>HU 2.17</t>
  </si>
  <si>
    <t>WEB_113</t>
  </si>
  <si>
    <t>WEB_114</t>
  </si>
  <si>
    <t>Como Admin SIGVE quiero gestionar catálogos genéricos del sistema para mantener actualizada las listas de opciones</t>
  </si>
  <si>
    <t>HU 2.18</t>
  </si>
  <si>
    <t>WEB_115</t>
  </si>
  <si>
    <t>Menú de navegación con acceso a cada catálogo</t>
  </si>
  <si>
    <t>Tabla generica con items del catálogo (nombre, descripción)</t>
  </si>
  <si>
    <t>Botón "Crear" para "Tipo de Item"</t>
  </si>
  <si>
    <t>Botón "Editar" en cada fila</t>
  </si>
  <si>
    <t>Botón "Eliminar" en cada fila</t>
  </si>
  <si>
    <t>Página genérica de catálogo mostrando nombre, icono, placeholder y tabla</t>
  </si>
  <si>
    <t>WEB_116</t>
  </si>
  <si>
    <t>WEB_117</t>
  </si>
  <si>
    <t>WEB_118</t>
  </si>
  <si>
    <t>WEB_119</t>
  </si>
  <si>
    <t>WEB_120</t>
  </si>
  <si>
    <t>Como Admin SIGVE quiero crear un item de catálogo para agregar nuevas opciones al sistema</t>
  </si>
  <si>
    <t>HU 2.19</t>
  </si>
  <si>
    <t>Modal "Crear Tipo" con formulario genérico</t>
  </si>
  <si>
    <t>Campo obligatorio 'Nombre'</t>
  </si>
  <si>
    <t>Campo opcional 'Descripción'</t>
  </si>
  <si>
    <t>WEB_121</t>
  </si>
  <si>
    <t>WEB_122</t>
  </si>
  <si>
    <t>WEB_123</t>
  </si>
  <si>
    <t>WEB_124</t>
  </si>
  <si>
    <t>WEB_125</t>
  </si>
  <si>
    <t>HU 2.20</t>
  </si>
  <si>
    <t>Como Admin SIGVE quiero editar un item de catálogo para actualizar su información</t>
  </si>
  <si>
    <t>Modal "Editar Tipo" con datos pre-cargados</t>
  </si>
  <si>
    <t>Permitir edición de nombre y descripción</t>
  </si>
  <si>
    <t>WEB_126</t>
  </si>
  <si>
    <t>WEB_127</t>
  </si>
  <si>
    <t>WEB_128</t>
  </si>
  <si>
    <t>WEB_129</t>
  </si>
  <si>
    <t>Como Admin SIGVE quiero eliminar un item de catálogo para mantener solo opcioens vigentes</t>
  </si>
  <si>
    <t>HU 2.21</t>
  </si>
  <si>
    <t>Mensaje de error si el item está en uso</t>
  </si>
  <si>
    <t>WEB_130</t>
  </si>
  <si>
    <t>WEB_131</t>
  </si>
  <si>
    <t>WEB_132</t>
  </si>
  <si>
    <t>Como Admin SIGVE quier gestionar todos los usuarios del sistema para controlar accesos y roles</t>
  </si>
  <si>
    <t>HU 2.22</t>
  </si>
  <si>
    <t>Tabla con listado de usuarios (nombre, email, rol, taller, cuartel, estado)</t>
  </si>
  <si>
    <t>Botón "Crear Usuario" que abre formulario modal para la creación de usuarios</t>
  </si>
  <si>
    <t>Badge indicando si el usuario está activo o inactivo</t>
  </si>
  <si>
    <t>Botón "Desactivar" o "Activar" según el estado</t>
  </si>
  <si>
    <t>Botón "Eliminar" con confirmación</t>
  </si>
  <si>
    <t>WEB_133</t>
  </si>
  <si>
    <t>WEB_134</t>
  </si>
  <si>
    <t>WEB_135</t>
  </si>
  <si>
    <t>WEB_136</t>
  </si>
  <si>
    <t>WEB_137</t>
  </si>
  <si>
    <t>WEB_138</t>
  </si>
  <si>
    <t>WEB_139</t>
  </si>
  <si>
    <t>HU 2.23</t>
  </si>
  <si>
    <t>Como Admin SIGVE quiero crear un usuario con cualquier rol para dar acceso a nuevos miembros del sistema</t>
  </si>
  <si>
    <t>Modal "Crear Usuario" con formulario</t>
  </si>
  <si>
    <t>Campo obligatorio "Email"</t>
  </si>
  <si>
    <t>Campo obligatorio "Contraseña"</t>
  </si>
  <si>
    <t>Campo obligatorio "Confirmar Contraseña"</t>
  </si>
  <si>
    <t>Campo obligatorio "Nombre"</t>
  </si>
  <si>
    <t>Campo obligatorio "Apellido"</t>
  </si>
  <si>
    <t>Campo opcional "RUT"</t>
  </si>
  <si>
    <t>Dropdown obligatorio "Rol" con todos los roles del sistema</t>
  </si>
  <si>
    <t>Dropdown opcional "Taller" (solo si el rol es de taller)</t>
  </si>
  <si>
    <t>Dropdown opcional "Cuartel" (solo si el rol es de cuartel)</t>
  </si>
  <si>
    <t>Checkbox "Activo"</t>
  </si>
  <si>
    <t>Validar que un usuario no pueda estar en taller y cuartel simultáneamente</t>
  </si>
  <si>
    <t>Validar que las contraseñas coincidan</t>
  </si>
  <si>
    <t>Botón "Crear Usuario" para guardarlo</t>
  </si>
  <si>
    <t>Botón "Cancelar"</t>
  </si>
  <si>
    <t>WEB_140</t>
  </si>
  <si>
    <t>WEB_141</t>
  </si>
  <si>
    <t>WEB_142</t>
  </si>
  <si>
    <t>WEB_143</t>
  </si>
  <si>
    <t>WEB_144</t>
  </si>
  <si>
    <t>WEB_145</t>
  </si>
  <si>
    <t>WEB_146</t>
  </si>
  <si>
    <t>WEB_147</t>
  </si>
  <si>
    <t>WEB_148</t>
  </si>
  <si>
    <t>WEB_149</t>
  </si>
  <si>
    <t>WEB_150</t>
  </si>
  <si>
    <t>WEB_151</t>
  </si>
  <si>
    <t>WEB_152</t>
  </si>
  <si>
    <t>WEB_153</t>
  </si>
  <si>
    <t>WEB_154</t>
  </si>
  <si>
    <t>WEB_155</t>
  </si>
  <si>
    <t>WEB_156</t>
  </si>
  <si>
    <t>WEB_157</t>
  </si>
  <si>
    <t>Como Admin SIGVE quiero editar información de cualquier usuario para actualizar sus datos o cambiar su rol</t>
  </si>
  <si>
    <t>HU 2.24</t>
  </si>
  <si>
    <t>Permitir edición de email, nombre, apellido</t>
  </si>
  <si>
    <t>Permitir cambio de rol</t>
  </si>
  <si>
    <t>Permitir cambio de taller o cuartel asignado</t>
  </si>
  <si>
    <t>WEB_158</t>
  </si>
  <si>
    <t>WEB_159</t>
  </si>
  <si>
    <t>WEB_160</t>
  </si>
  <si>
    <t>WEB_161</t>
  </si>
  <si>
    <t>WEB_162</t>
  </si>
  <si>
    <t>WEB_163</t>
  </si>
  <si>
    <t>WEB_164</t>
  </si>
  <si>
    <t>Como Admin SIGVE quiero desactivar o activar usuarios para controlar accesos sin eliminar cuentas</t>
  </si>
  <si>
    <t>HU 2.25</t>
  </si>
  <si>
    <t>WEB_165</t>
  </si>
  <si>
    <t>Botón "Desactivar" visible si el usuario está activo</t>
  </si>
  <si>
    <t>Modal "Editar Usuario" con datos pre-cargados</t>
  </si>
  <si>
    <t>Botón 'Activar' visible si el usuario está inactivo</t>
  </si>
  <si>
    <t>WEB_166</t>
  </si>
  <si>
    <t>Mensaje de éxito al cambiar el estado</t>
  </si>
  <si>
    <t>WEB_167</t>
  </si>
  <si>
    <t>Como Admin SIGVE quiero eliminar permanentemente un usuario para remover cuentas que ya no se necesitan</t>
  </si>
  <si>
    <t>HU 2.26</t>
  </si>
  <si>
    <t>Prevenir que el admin se elimine a sí mismo</t>
  </si>
  <si>
    <t>Mensaje de advertencia sobre eliminación permanente</t>
  </si>
  <si>
    <t>Eliminar desde supabase usuario de la tabla Auth.Users y después borrar de la tabla user_profile</t>
  </si>
  <si>
    <t>WEB_168</t>
  </si>
  <si>
    <t>WEB_169</t>
  </si>
  <si>
    <t>WEB_170</t>
  </si>
  <si>
    <t>WEB_171</t>
  </si>
  <si>
    <t>WEB_172</t>
  </si>
  <si>
    <t>Como Admin SIGVE quiero crear un tipo de solicitud con esquema de formulario dinámico para que los talleres puedan solicitar diferentes tipos de recursos</t>
  </si>
  <si>
    <t>HU 2.27</t>
  </si>
  <si>
    <t>Crear modal "Crear Tipo de Solicitud" con formulario</t>
  </si>
  <si>
    <t>Campo obligatorio 'Nombre del Tipo'</t>
  </si>
  <si>
    <t>Campo obligatorio 'Tabla Objetivo' (ej: spare_part, supplier)</t>
  </si>
  <si>
    <t>Campo obligatorio 'Esquema del Formulario (JSON)' con editor de texto</t>
  </si>
  <si>
    <t>Placeholder con ejemplo de formato JSON</t>
  </si>
  <si>
    <t>Validar que el JSON sea válido</t>
  </si>
  <si>
    <t>WEB_173</t>
  </si>
  <si>
    <t>WEB_174</t>
  </si>
  <si>
    <t>WEB_175</t>
  </si>
  <si>
    <t>WEB_176</t>
  </si>
  <si>
    <t>WEB_177</t>
  </si>
  <si>
    <t>WEB_178</t>
  </si>
  <si>
    <t>WEB_179</t>
  </si>
  <si>
    <t>WEB_180</t>
  </si>
  <si>
    <t>WEB_181</t>
  </si>
  <si>
    <t>HU 2.28</t>
  </si>
  <si>
    <t>Tabla con listado de tipos de solicitudes (nombre, tabla objetivo, descripción)</t>
  </si>
  <si>
    <t>Botón "Crear Tipo de Solicitud" que abre formulario modal para la creación de tipo de solicitudes</t>
  </si>
  <si>
    <t>Como Admin SIGVE quiero editar un tipo de solicitud para actualizar su configuración</t>
  </si>
  <si>
    <t>HU 2.29</t>
  </si>
  <si>
    <t>WEB_182</t>
  </si>
  <si>
    <t>WEB_183</t>
  </si>
  <si>
    <t>WEB_184</t>
  </si>
  <si>
    <t>WEB_185</t>
  </si>
  <si>
    <t>Modal "Editar Tipo de Solicitud" con datos pre-cargados</t>
  </si>
  <si>
    <t>Validar el formato JSON del esquema</t>
  </si>
  <si>
    <t>WEB_186</t>
  </si>
  <si>
    <t>WEB_187</t>
  </si>
  <si>
    <t>WEB_188</t>
  </si>
  <si>
    <t>WEB_189</t>
  </si>
  <si>
    <t>WEB_190</t>
  </si>
  <si>
    <t>Como Admin SIGVE quiero eliminar un tipo de solicitud para mantener solo tipos vigentes</t>
  </si>
  <si>
    <t>HU 2.30</t>
  </si>
  <si>
    <t>Mensaje de error si hay solicitudes asociadas</t>
  </si>
  <si>
    <t>WEB_191</t>
  </si>
  <si>
    <t>WEB_192</t>
  </si>
  <si>
    <t>WEB_193</t>
  </si>
  <si>
    <t>Como Admin SIGVE quiero ver un centro de solicitudes con pestañas por estado para gestionar solicitudes de talleres de forma organizada</t>
  </si>
  <si>
    <t>HU 2.31</t>
  </si>
  <si>
    <t>Como Admin SIGVE quiero gestionar los tipos de solicitudes configurables para permitir que talleres soliciten diferentes tipos de datos</t>
  </si>
  <si>
    <t>Pestañas para filtrar por estado (Pendientes, Aprobadas, Rechazadas)</t>
  </si>
  <si>
    <t>Tabla con solicitudes según pestaña activa</t>
  </si>
  <si>
    <t>Columnas: ID, Tipo, Datos Solicitados, Solicitante, Fecha</t>
  </si>
  <si>
    <t>Badge indicando el tipo de solicitud</t>
  </si>
  <si>
    <t>Botón "Aprobar" visible solo en solicitudes pendientes</t>
  </si>
  <si>
    <t>Botón "Rechazar" visible solo en solicitudes pendientes</t>
  </si>
  <si>
    <t>Mostrar notas del admin en solicitudes procesadas</t>
  </si>
  <si>
    <t>Mensaje "No hay solicitudes estado" cuando la pestaña está vacía</t>
  </si>
  <si>
    <t>WEB_194</t>
  </si>
  <si>
    <t>WEB_195</t>
  </si>
  <si>
    <t>WEB_196</t>
  </si>
  <si>
    <t>WEB_197</t>
  </si>
  <si>
    <t>WEB_198</t>
  </si>
  <si>
    <t>WEB_199</t>
  </si>
  <si>
    <t>WEB_200</t>
  </si>
  <si>
    <t>WEB_201</t>
  </si>
  <si>
    <t>Como Admin SIGVE quiero aprobar una solicitud de taller para informar la creación del recurso solicitado en el sistema</t>
  </si>
  <si>
    <t>HU 2.32</t>
  </si>
  <si>
    <t>Botón "Aprobar" que abre confirmación</t>
  </si>
  <si>
    <t>Mensaje de confirmación indicando que se creará el recurso</t>
  </si>
  <si>
    <t>Campo opcional "Notas del Administrador"</t>
  </si>
  <si>
    <t>Cambiar estado de la solicitud a "Aprobada"</t>
  </si>
  <si>
    <t>Mensaje de éxito al aprobar</t>
  </si>
  <si>
    <t>WEB_202</t>
  </si>
  <si>
    <t>WEB_203</t>
  </si>
  <si>
    <t>WEB_204</t>
  </si>
  <si>
    <t>WEB_205</t>
  </si>
  <si>
    <t>WEB_206</t>
  </si>
  <si>
    <t>Como Admin SIGVE quiero rechazar una solicitud enviando un motivo para denegar solicitudes que no proceden</t>
  </si>
  <si>
    <t>HU 2.33</t>
  </si>
  <si>
    <t>Botón "Rechazar" que abre modal</t>
  </si>
  <si>
    <t>Campo obligatorio "Motivo del Rechazo"</t>
  </si>
  <si>
    <t>Placeholder indicando que explique el motivo</t>
  </si>
  <si>
    <t>Botón "Rechazar" en color de advertencia</t>
  </si>
  <si>
    <t>Cambiar estado de la solicitud a "Rechazada"</t>
  </si>
  <si>
    <t>Guardar el motivo en notas del administrador</t>
  </si>
  <si>
    <t>Mensaje de éxito al rechazar</t>
  </si>
  <si>
    <t>WEB_207</t>
  </si>
  <si>
    <t>WEB_208</t>
  </si>
  <si>
    <t>WEB_209</t>
  </si>
  <si>
    <t>WEB_210</t>
  </si>
  <si>
    <t>WEB_211</t>
  </si>
  <si>
    <t>WEB_212</t>
  </si>
  <si>
    <t>WEB_213</t>
  </si>
  <si>
    <t>WEB_214</t>
  </si>
  <si>
    <t>Gestión de Taller de Mantención</t>
  </si>
  <si>
    <t>Como usuario del taller quiero visualizar un dashboard con estadisticas del taller para tener una visión general del trabajo</t>
  </si>
  <si>
    <t>WEB_215</t>
  </si>
  <si>
    <t>Mostrar nombre del taller en el encabezado</t>
  </si>
  <si>
    <t>Tarjeta con total de órdenes en taller</t>
  </si>
  <si>
    <t>Tarjeta con órdenes pendientes</t>
  </si>
  <si>
    <t>Tarjeta con órdenes esperando repuestos</t>
  </si>
  <si>
    <t>Tarjeta con total de órdenes histórico</t>
  </si>
  <si>
    <t>Enlace en cada tarjeta para filtrar por ese estado</t>
  </si>
  <si>
    <t>Sección de acciones rápida</t>
  </si>
  <si>
    <t>Enlace "Ver Proveedores"</t>
  </si>
  <si>
    <t>Sección de alertas de inventario</t>
  </si>
  <si>
    <t>Alerta de repuestos con stock bajo (menos de 5 unidades)</t>
  </si>
  <si>
    <t>Mensaje de éxito si todo el inventario tiene stock adecuado</t>
  </si>
  <si>
    <t>Tabla con vehículos actualmente en el taller</t>
  </si>
  <si>
    <t>WEB_216</t>
  </si>
  <si>
    <t>WEB_217</t>
  </si>
  <si>
    <t>WEB_218</t>
  </si>
  <si>
    <t>WEB_219</t>
  </si>
  <si>
    <t>WEB_220</t>
  </si>
  <si>
    <t>WEB_221</t>
  </si>
  <si>
    <t>WEB_222</t>
  </si>
  <si>
    <t>WEB_223</t>
  </si>
  <si>
    <t>WEB_224</t>
  </si>
  <si>
    <t>WEB_225</t>
  </si>
  <si>
    <t>WEB_226</t>
  </si>
  <si>
    <t>WEB_227</t>
  </si>
  <si>
    <t>WEB_228</t>
  </si>
  <si>
    <t>WEB_229</t>
  </si>
  <si>
    <t>WEB_230</t>
  </si>
  <si>
    <t>WEB_231</t>
  </si>
  <si>
    <t>WEB_232</t>
  </si>
  <si>
    <t>HU 3.1</t>
  </si>
  <si>
    <t>Como usuario del taller quiero ver el listado de órdenes de mantención para gestionar el trabajo del taller</t>
  </si>
  <si>
    <t>Como usuario del taller quiero crear una orden de mantención de forma rápida para registrar vehículos que ingresan al taller</t>
  </si>
  <si>
    <t>HU 3.2</t>
  </si>
  <si>
    <t>HU 3.3</t>
  </si>
  <si>
    <t>Crear modal "Nueva Orden" con flujo en pasos</t>
  </si>
  <si>
    <t>Mensaje "No hay vehículos en el taller" cuando está vacío</t>
  </si>
  <si>
    <t>Botón "Ver Ficha" para cada orden</t>
  </si>
  <si>
    <t>Enlace "Gestionar Empleados" (solo para Admin Taller)</t>
  </si>
  <si>
    <t>Enlace "Gestionar Inventario"</t>
  </si>
  <si>
    <t>Botón "Nueva Orden de Mantención" que abre modal</t>
  </si>
  <si>
    <t>Botón "Ver Solicitudes Pendientes" con badge de cantidad</t>
  </si>
  <si>
    <t>Paso 1: Buscar vehículo por patente</t>
  </si>
  <si>
    <t>Campo de búsqueda con autocompletado</t>
  </si>
  <si>
    <t>Mostrar resultados con información del vehículo</t>
  </si>
  <si>
    <t>Indicar si el vehículo ya tiene orden activa</t>
  </si>
  <si>
    <t>Botón "Crear Nuevo Vehículo" si no existe</t>
  </si>
  <si>
    <t>Paso 2 (si no existe): Formulario de creación de vehículo</t>
  </si>
  <si>
    <t>Campos: Patente, Marca, Modelo, Año, Cuartel, Tipo, Motor, VIN, Combustible, Transmisión</t>
  </si>
  <si>
    <t>Paso 3: Formulario de orden de mantención</t>
  </si>
  <si>
    <t>Campo obligatorio Kilometraje de Ingreso</t>
  </si>
  <si>
    <t>Dropdown Tipo de Mantención</t>
  </si>
  <si>
    <t>Dropdown Estado de la Orden</t>
  </si>
  <si>
    <t>Dropdown "Mecánico Asignado"</t>
  </si>
  <si>
    <t>Campo "Fecha de Ingreso" con selector de fecha</t>
  </si>
  <si>
    <t>Campo "Observaciones" en textarea</t>
  </si>
  <si>
    <t>Prevenir crear orden si el vehículo ya tiene una activa</t>
  </si>
  <si>
    <t>Botón "Crear Orden"</t>
  </si>
  <si>
    <t xml:space="preserve">Mensaje de éxito al crear </t>
  </si>
  <si>
    <t>Redirigir a la ficha de la orden creada</t>
  </si>
  <si>
    <t>WEB_233</t>
  </si>
  <si>
    <t>WEB_234</t>
  </si>
  <si>
    <t>WEB_235</t>
  </si>
  <si>
    <t>WEB_236</t>
  </si>
  <si>
    <t>WEB_237</t>
  </si>
  <si>
    <t>WEB_238</t>
  </si>
  <si>
    <t>WEB_239</t>
  </si>
  <si>
    <t>WEB_240</t>
  </si>
  <si>
    <t>WEB_241</t>
  </si>
  <si>
    <t>WEB_242</t>
  </si>
  <si>
    <t>WEB_243</t>
  </si>
  <si>
    <t>WEB_244</t>
  </si>
  <si>
    <t>WEB_245</t>
  </si>
  <si>
    <t>WEB_246</t>
  </si>
  <si>
    <t>WEB_247</t>
  </si>
  <si>
    <t>WEB_248</t>
  </si>
  <si>
    <t>WEB_249</t>
  </si>
  <si>
    <t>WEB_250</t>
  </si>
  <si>
    <t>WEB_251</t>
  </si>
  <si>
    <t>WEB_252</t>
  </si>
  <si>
    <t>Tabla con listado de órdenes</t>
  </si>
  <si>
    <t>Botón "Nueva Orden" para crear orden</t>
  </si>
  <si>
    <t>Filtro por estado de orden</t>
  </si>
  <si>
    <t>Filtro por patente con búsqueda de texto</t>
  </si>
  <si>
    <t>Filtro por cuartel</t>
  </si>
  <si>
    <t>Badge de color según estado de orden</t>
  </si>
  <si>
    <t>Badge de color según estado de vehículo</t>
  </si>
  <si>
    <t>Hacer clic en una fila para ir al detalle de la orden</t>
  </si>
  <si>
    <t>Botón "Ver" en cada fila</t>
  </si>
  <si>
    <t>Mensaje "No hay órdenes" cuando la lista está vacía</t>
  </si>
  <si>
    <t>Loader mientras se aplican filtros</t>
  </si>
  <si>
    <t>WEB_253</t>
  </si>
  <si>
    <t>WEB_254</t>
  </si>
  <si>
    <t>WEB_255</t>
  </si>
  <si>
    <t>WEB_256</t>
  </si>
  <si>
    <t>WEB_257</t>
  </si>
  <si>
    <t>WEB_258</t>
  </si>
  <si>
    <t>WEB_259</t>
  </si>
  <si>
    <t>WEB_260</t>
  </si>
  <si>
    <t>WEB_261</t>
  </si>
  <si>
    <t>WEB_262</t>
  </si>
  <si>
    <t>WEB_263</t>
  </si>
  <si>
    <t>WEB_264</t>
  </si>
  <si>
    <t>Como usuario del taller quiero ver la ficha de una orden de mantención para gestionar las tareas y repuestos</t>
  </si>
  <si>
    <t>HU 3.4</t>
  </si>
  <si>
    <t>Crear página "Orden #N" con todos los detalles de la orden correspondiente</t>
  </si>
  <si>
    <t>Sección con información del vehículo (patente, marca, modelo, cuartel)</t>
  </si>
  <si>
    <t>Sección con datos de la orden (tipo mantención, estado, fecha ingreso, kilometraje)</t>
  </si>
  <si>
    <t>Sección con mecánico asignado</t>
  </si>
  <si>
    <t>Mostrar observaciones generales</t>
  </si>
  <si>
    <t>Botón "Actualizar Orden" para modificar estado, tipo, mecánico</t>
  </si>
  <si>
    <t>Sección de tareas de mantención realizadas</t>
  </si>
  <si>
    <t>Tabla con listado de tareas (tipo, descripción, costo mano obra)</t>
  </si>
  <si>
    <t>Botón "Agregar Tarea"</t>
  </si>
  <si>
    <t>Botón "Eliminar" para cada tarea</t>
  </si>
  <si>
    <t>Sección de repuestos utilizados por tarea</t>
  </si>
  <si>
    <t>Tabla con listado de repuestos (nombre, cantidad, costo unitario, subtotal)</t>
  </si>
  <si>
    <t>Botón "Agregar Repuesto" para cada tarea</t>
  </si>
  <si>
    <t>Botón "Eliminar" para cada repuesto</t>
  </si>
  <si>
    <t>Cálculo automático de costo total de repuestos</t>
  </si>
  <si>
    <t>Cálculo automático de costo total de mano de obra</t>
  </si>
  <si>
    <t>Cálculo automático de costo total de la orden</t>
  </si>
  <si>
    <t>Indicador si la orden está completada</t>
  </si>
  <si>
    <t>Deshabilitar ediciones si la orden está completada</t>
  </si>
  <si>
    <t>Mensaje de éxito al marcar orden como terminada</t>
  </si>
  <si>
    <t>Actualizar automáticamente el estado del vehículo a 'Disponible' al completar</t>
  </si>
  <si>
    <t>WEB_265</t>
  </si>
  <si>
    <t>WEB_266</t>
  </si>
  <si>
    <t>WEB_267</t>
  </si>
  <si>
    <t>WEB_268</t>
  </si>
  <si>
    <t>WEB_269</t>
  </si>
  <si>
    <t>WEB_270</t>
  </si>
  <si>
    <t>WEB_271</t>
  </si>
  <si>
    <t>WEB_272</t>
  </si>
  <si>
    <t>WEB_273</t>
  </si>
  <si>
    <t>WEB_274</t>
  </si>
  <si>
    <t>WEB_275</t>
  </si>
  <si>
    <t>WEB_276</t>
  </si>
  <si>
    <t>WEB_277</t>
  </si>
  <si>
    <t>WEB_278</t>
  </si>
  <si>
    <t>WEB_279</t>
  </si>
  <si>
    <t>WEB_280</t>
  </si>
  <si>
    <t>WEB_281</t>
  </si>
  <si>
    <t>WEB_282</t>
  </si>
  <si>
    <t>WEB_283</t>
  </si>
  <si>
    <t>WEB_284</t>
  </si>
  <si>
    <t>Como usuario del taller quiero actualizar información general de una orden parar mantener la orden al día</t>
  </si>
  <si>
    <t>HU 3.5</t>
  </si>
  <si>
    <t>Formulario de actualización dentro de la ficha</t>
  </si>
  <si>
    <t>WEB_285</t>
  </si>
  <si>
    <t>Dropdown "Estado de la Orden"</t>
  </si>
  <si>
    <t>Dropdown "Tipo de Mantención"</t>
  </si>
  <si>
    <t>Campo "Fecha de Salida" con selector</t>
  </si>
  <si>
    <t>Campo "Observaciones"</t>
  </si>
  <si>
    <t>Prevenir actualizaciones si la orden está completada</t>
  </si>
  <si>
    <t>Mensaje especial si se marca como terminada</t>
  </si>
  <si>
    <t>WEB_286</t>
  </si>
  <si>
    <t>WEB_287</t>
  </si>
  <si>
    <t>WEB_288</t>
  </si>
  <si>
    <t>WEB_289</t>
  </si>
  <si>
    <t>WEB_290</t>
  </si>
  <si>
    <t>WEB_291</t>
  </si>
  <si>
    <t>WEB_292</t>
  </si>
  <si>
    <t>WEB_293</t>
  </si>
  <si>
    <t>WEB_294</t>
  </si>
  <si>
    <t>Como usuario del taller quiero agregar tareas de mantención a una orden para registrar el trabajo realizado</t>
  </si>
  <si>
    <t>HU 3.6</t>
  </si>
  <si>
    <t>Botón "Agregar Tarea" que abre modal formulario</t>
  </si>
  <si>
    <t>Dropdown "Tipo de Tarea" con opciones del catálogo</t>
  </si>
  <si>
    <t>Campo "Descripción" en textarea para detalles adicionales</t>
  </si>
  <si>
    <t xml:space="preserve"> Campo "Costo de Mano de Obra (CLP)" con validación numérica</t>
  </si>
  <si>
    <t>Botón "Guardar Tarea"</t>
  </si>
  <si>
    <t>Prevenir agregar tareas si la orden está completada</t>
  </si>
  <si>
    <t>Mensaje de éxito al agregar</t>
  </si>
  <si>
    <t>Recargar ficha de orden automáticamente</t>
  </si>
  <si>
    <t>WEB_295</t>
  </si>
  <si>
    <t>WEB_296</t>
  </si>
  <si>
    <t>WEB_297</t>
  </si>
  <si>
    <t>WEB_298</t>
  </si>
  <si>
    <t>WEB_299</t>
  </si>
  <si>
    <t>WEB_300</t>
  </si>
  <si>
    <t>WEB_301</t>
  </si>
  <si>
    <t>WEB_302</t>
  </si>
  <si>
    <t>WEB_303</t>
  </si>
  <si>
    <t>Como usuario del taller quiero eliminar tareas de una orden para corregir errores</t>
  </si>
  <si>
    <t>HU 3.7</t>
  </si>
  <si>
    <t>Botón "Eliminar" en cada tarea</t>
  </si>
  <si>
    <t>Prevenir eliminar si la orden está completada</t>
  </si>
  <si>
    <t>Eliminar también los repuestos asociados a la tarea</t>
  </si>
  <si>
    <t>WEB_304</t>
  </si>
  <si>
    <t>WEB_305</t>
  </si>
  <si>
    <t>WEB_306</t>
  </si>
  <si>
    <t>WEB_307</t>
  </si>
  <si>
    <t>Como usuario del taller quiero agregar repuestos a una tarea para registrar los materiales utilizados</t>
  </si>
  <si>
    <t>HU 3.8</t>
  </si>
  <si>
    <t>Botón "Agregar Repuesto" en cada tarea</t>
  </si>
  <si>
    <t>Dropdown "Repuesto" con items del inventario del taller</t>
  </si>
  <si>
    <t>Mostrar stock disponible de cada repuesto</t>
  </si>
  <si>
    <t>Campo "Cantidad" con validación numérica</t>
  </si>
  <si>
    <t>Validar que haya stock suficiente</t>
  </si>
  <si>
    <t>Descontar automáticamente del inventario al agregar</t>
  </si>
  <si>
    <t>Prevenir agregar si la orden está completada</t>
  </si>
  <si>
    <t>Mensaje de error si no hay stock suficiente</t>
  </si>
  <si>
    <t>WEB_308</t>
  </si>
  <si>
    <t>WEB_309</t>
  </si>
  <si>
    <t>WEB_310</t>
  </si>
  <si>
    <t>WEB_311</t>
  </si>
  <si>
    <t>WEB_312</t>
  </si>
  <si>
    <t>WEB_313</t>
  </si>
  <si>
    <t>WEB_314</t>
  </si>
  <si>
    <t>WEB_315</t>
  </si>
  <si>
    <t>WEB_316</t>
  </si>
  <si>
    <t>WEB_317</t>
  </si>
  <si>
    <t>Como usuario del taller quiero elimminar repuestos de una tarea para corregir errores y devolver stock</t>
  </si>
  <si>
    <t>HU 3.9</t>
  </si>
  <si>
    <t xml:space="preserve">Botón "Eliminar" en cada repuesto </t>
  </si>
  <si>
    <t>Devolver automáticamente la cantidad al inventario</t>
  </si>
  <si>
    <t>WEB_318</t>
  </si>
  <si>
    <t>WEB_319</t>
  </si>
  <si>
    <t>WEB_320</t>
  </si>
  <si>
    <t>WEB_321</t>
  </si>
  <si>
    <t>Como usuario del taller quiero ver el inventario de repuestos del taller para gestionar el stock disponible</t>
  </si>
  <si>
    <t>HU 3.10</t>
  </si>
  <si>
    <t>Tabla con listado de inventario</t>
  </si>
  <si>
    <t>Botón "Agregar Repuesto al Inventario"</t>
  </si>
  <si>
    <t>Indicador visual de repuestos con stock bajo (menos de 5)</t>
  </si>
  <si>
    <t>Mensaje "No hay repuestos en inventario" cuando está vacío</t>
  </si>
  <si>
    <t>WEB_322</t>
  </si>
  <si>
    <t>WEB_323</t>
  </si>
  <si>
    <t>WEB_324</t>
  </si>
  <si>
    <t>WEB_325</t>
  </si>
  <si>
    <t>WEB_326</t>
  </si>
  <si>
    <t>WEB_327</t>
  </si>
  <si>
    <t>Como usuario del taller quiero agregar un repuesto al inventario parar tener stock disponible</t>
  </si>
  <si>
    <t>Crear formulario modal "Agregar Repuesto"</t>
  </si>
  <si>
    <t>Dropdown "Repuesto del Catálogo" con todos los repuestos maestros</t>
  </si>
  <si>
    <t>Campo obligatorio "Cantidad" con validación mayor a 0</t>
  </si>
  <si>
    <t>Dropdown opcional "Proveedor" (globales + locales del taller)</t>
  </si>
  <si>
    <t>Campo obligatorio "Costo de Compra (CLP)" con validación mayor a 0</t>
  </si>
  <si>
    <t>Campo opcional "Ubicación en Bodega"</t>
  </si>
  <si>
    <t>Campo opcional "SKU Interno del Taller"</t>
  </si>
  <si>
    <t>Validar campos obligatorios</t>
  </si>
  <si>
    <t>Mensaje de error si hay problema de sincronización</t>
  </si>
  <si>
    <t>WEB_328</t>
  </si>
  <si>
    <t>WEB_329</t>
  </si>
  <si>
    <t>WEB_330</t>
  </si>
  <si>
    <t>WEB_331</t>
  </si>
  <si>
    <t>WEB_332</t>
  </si>
  <si>
    <t>HU 3.11</t>
  </si>
  <si>
    <t>WEB_333</t>
  </si>
  <si>
    <t>WEB_334</t>
  </si>
  <si>
    <t>WEB_335</t>
  </si>
  <si>
    <t>WEB_336</t>
  </si>
  <si>
    <t>WEB_337</t>
  </si>
  <si>
    <t>WEB_338</t>
  </si>
  <si>
    <t>Como usuario del taller quiero editar el stock y costo de un repuesto para mantener el inventario actualizado</t>
  </si>
  <si>
    <t>HU 3.12</t>
  </si>
  <si>
    <t>Modal "Editar Inventario" con datos pre-cargados</t>
  </si>
  <si>
    <t>Campo "Cantidad" editable</t>
  </si>
  <si>
    <t>Campo "Costo Actual" editable</t>
  </si>
  <si>
    <t>Dropdown "Proveedor" editable</t>
  </si>
  <si>
    <t>Campo "Ubicación" editable</t>
  </si>
  <si>
    <t>Campo "SKU Interno" editable</t>
  </si>
  <si>
    <t>WEB_339</t>
  </si>
  <si>
    <t>WEB_340</t>
  </si>
  <si>
    <t>WEB_341</t>
  </si>
  <si>
    <t>WEB_342</t>
  </si>
  <si>
    <t>WEB_343</t>
  </si>
  <si>
    <t>WEB_344</t>
  </si>
  <si>
    <t>WEB_345</t>
  </si>
  <si>
    <t>WEB_346</t>
  </si>
  <si>
    <t>WEB_347</t>
  </si>
  <si>
    <t>HU 3.13</t>
  </si>
  <si>
    <t>WEB_348</t>
  </si>
  <si>
    <t>WEB_349</t>
  </si>
  <si>
    <t>Como usuario del taller quiero gestionar proveedores del taller para mantener contactos de compra</t>
  </si>
  <si>
    <t>Como Admin Taller quiero eliminar un repuesto del inventario para mantener solo items vigentes</t>
  </si>
  <si>
    <t>HU 3.14</t>
  </si>
  <si>
    <t>Como usuario del taller quiero crear un proveedor local para tener contactos específicos del taller</t>
  </si>
  <si>
    <t>HU 3.15</t>
  </si>
  <si>
    <t>Campo obligatorio "Nombre del Proveedor"</t>
  </si>
  <si>
    <t>Crear formulario modal "Crear Proveedor"</t>
  </si>
  <si>
    <t>Campo opcional "Dirección"</t>
  </si>
  <si>
    <t>Campo opcional "Email"</t>
  </si>
  <si>
    <t>WEB_350</t>
  </si>
  <si>
    <t>WEB_351</t>
  </si>
  <si>
    <t>WEB_352</t>
  </si>
  <si>
    <t>WEB_353</t>
  </si>
  <si>
    <t>WEB_354</t>
  </si>
  <si>
    <t>WEB_355</t>
  </si>
  <si>
    <t>WEB_356</t>
  </si>
  <si>
    <t>WEB_357</t>
  </si>
  <si>
    <t>Tabla con listado de proveedores (globales y locales)</t>
  </si>
  <si>
    <t>Botón "Crear Proveedor Local"</t>
  </si>
  <si>
    <t>Botón "Editar" solo en proveedores locales</t>
  </si>
  <si>
    <t>Botón "Eliminar" solo en proveedores locales</t>
  </si>
  <si>
    <t>Indicador visual de proveedores globales vs locales</t>
  </si>
  <si>
    <t>WEB_358</t>
  </si>
  <si>
    <t>WEB_359</t>
  </si>
  <si>
    <t>WEB_360</t>
  </si>
  <si>
    <t>WEB_361</t>
  </si>
  <si>
    <t>WEB_362</t>
  </si>
  <si>
    <t>Como usuario del taller quiero editar un proveedor local para actualizar sus datos</t>
  </si>
  <si>
    <t>HU 3.16</t>
  </si>
  <si>
    <t>Prevenir edición de proveedores globales</t>
  </si>
  <si>
    <t>WEB_363</t>
  </si>
  <si>
    <t>WEB_364</t>
  </si>
  <si>
    <t>WEB_365</t>
  </si>
  <si>
    <t>WEB_366</t>
  </si>
  <si>
    <t>WEB_367</t>
  </si>
  <si>
    <t>Como Admin Taller quiero eliminar un proveedor local para mantener solo proveedores activos</t>
  </si>
  <si>
    <t>HU 3.17</t>
  </si>
  <si>
    <t>Prevenir eliminación de proveedores globales</t>
  </si>
  <si>
    <t>WEB_368</t>
  </si>
  <si>
    <t>WEB_369</t>
  </si>
  <si>
    <t>WEB_370</t>
  </si>
  <si>
    <t>HU 3.18</t>
  </si>
  <si>
    <t>Como Admin Taller quiero gestionar los empleados del taller para controlar el personal</t>
  </si>
  <si>
    <t>Tabla con listado de empleados (nombre, email, rol, teléfono, estado)</t>
  </si>
  <si>
    <t>Botón "Crear Empleado"</t>
  </si>
  <si>
    <t>Badge indicando si está activo o inactivo</t>
  </si>
  <si>
    <t>Botón "Desactivar" o "Activar" según estado</t>
  </si>
  <si>
    <t>Vista solo para Admin Taller (bloqueada para Mecánicos)</t>
  </si>
  <si>
    <t>WEB_371</t>
  </si>
  <si>
    <t>WEB_372</t>
  </si>
  <si>
    <t>WEB_373</t>
  </si>
  <si>
    <t>WEB_374</t>
  </si>
  <si>
    <t>WEB_375</t>
  </si>
  <si>
    <t>WEB_376</t>
  </si>
  <si>
    <t>Como Admin Taller quiero crear un nuevo empleado para dar acceso a mécanicos y administradores</t>
  </si>
  <si>
    <t>HU 3.19</t>
  </si>
  <si>
    <t>Formulario modal "Crear Empleado"</t>
  </si>
  <si>
    <t>Dropdown "Rol" con opciones (Admin Taller, Mecánico)</t>
  </si>
  <si>
    <t>Validar que el rol sea válido para taller</t>
  </si>
  <si>
    <t>WEB_377</t>
  </si>
  <si>
    <t>WEB_378</t>
  </si>
  <si>
    <t>WEB_379</t>
  </si>
  <si>
    <t>WEB_380</t>
  </si>
  <si>
    <t>WEB_381</t>
  </si>
  <si>
    <t>WEB_382</t>
  </si>
  <si>
    <t>WEB_383</t>
  </si>
  <si>
    <t>WEB_384</t>
  </si>
  <si>
    <t>WEB_385</t>
  </si>
  <si>
    <t>WEB_386</t>
  </si>
  <si>
    <t>WEB_387</t>
  </si>
  <si>
    <t>WEB_388</t>
  </si>
  <si>
    <t>WEB_389</t>
  </si>
  <si>
    <t>WEB_390</t>
  </si>
  <si>
    <t>Como Admin Taller quiero editar información de un empleado para actualizar sus datos o cambiar su rol</t>
  </si>
  <si>
    <t>HU 3.20</t>
  </si>
  <si>
    <t>Modal "Editar Empleado" con datos pre-cargados</t>
  </si>
  <si>
    <t>Permitir edición de nombre, apellido, RUT, teléfono</t>
  </si>
  <si>
    <t>WEB_391</t>
  </si>
  <si>
    <t>WEB_392</t>
  </si>
  <si>
    <t>WEB_393</t>
  </si>
  <si>
    <t>WEB_394</t>
  </si>
  <si>
    <t>WEB_395</t>
  </si>
  <si>
    <t>WEB_396</t>
  </si>
  <si>
    <t>Como Admin Taller quiero desactivas o activar empleados para controlar accesos sin eliminar cuentas</t>
  </si>
  <si>
    <t>HU 3.21</t>
  </si>
  <si>
    <t>Botón "Desactivar" si está activo</t>
  </si>
  <si>
    <t>Botón "Activar" si está inactivo</t>
  </si>
  <si>
    <t>Mensaje de éxito al cambiar estado</t>
  </si>
  <si>
    <t>WEB_397</t>
  </si>
  <si>
    <t>WEB_398</t>
  </si>
  <si>
    <t>WEB_399</t>
  </si>
  <si>
    <t>Como usuario del taller quiero crear una solicitud a SIGVE para solicitar nuevos recursos (repuestos, proveedores, etc)</t>
  </si>
  <si>
    <t>HU 3.22</t>
  </si>
  <si>
    <t>Cargar campos dinámicamente según el esquema del tipo seleccionado</t>
  </si>
  <si>
    <t>Mostrar campos con sus etiquetas y tipos correctos</t>
  </si>
  <si>
    <t>Validar campos marcados como obligatorios</t>
  </si>
  <si>
    <t>Mensaje de éxito al enviar</t>
  </si>
  <si>
    <t>Mensaje de error si faltan campos obligatorios</t>
  </si>
  <si>
    <t>Modal "Nueva Solicitud"</t>
  </si>
  <si>
    <t>Dropdown "Tipo de Solicitud"</t>
  </si>
  <si>
    <t>Botón "Enviar Solicitud"</t>
  </si>
  <si>
    <t>WEB_400</t>
  </si>
  <si>
    <t>WEB_401</t>
  </si>
  <si>
    <t>WEB_402</t>
  </si>
  <si>
    <t>WEB_403</t>
  </si>
  <si>
    <t>WEB_404</t>
  </si>
  <si>
    <t>WEB_405</t>
  </si>
  <si>
    <t>WEB_406</t>
  </si>
  <si>
    <t>WEB_407</t>
  </si>
  <si>
    <t>WEB_408</t>
  </si>
  <si>
    <t>Como usuario del taller quiero ver solicitudes a SIGVE realizadas por el taller para hacer seguimiento de recursos solicitados</t>
  </si>
  <si>
    <t>HU 3.23</t>
  </si>
  <si>
    <t>Tabla con listado de solicitudes (ID, tipo, estado, fecha)</t>
  </si>
  <si>
    <t>Botón "Nueva Solicitud"</t>
  </si>
  <si>
    <t>Filtro por estado</t>
  </si>
  <si>
    <t>Filtro por tipo de solicitud</t>
  </si>
  <si>
    <t>Badge de color según estado</t>
  </si>
  <si>
    <t>Botón 'Limpiar Filtros'</t>
  </si>
  <si>
    <t>Mensaje 'No hay solicitudes' cuando la lista está vacía</t>
  </si>
  <si>
    <t>WEB_409</t>
  </si>
  <si>
    <t>WEB_410</t>
  </si>
  <si>
    <t>WEB_411</t>
  </si>
  <si>
    <t>WEB_412</t>
  </si>
  <si>
    <t>WEB_413</t>
  </si>
  <si>
    <t>WEB_414</t>
  </si>
  <si>
    <t>WEB_415</t>
  </si>
  <si>
    <t>Gestión de Cuartel de Bomberos</t>
  </si>
  <si>
    <t>Como Jefe Cuartel quiero visualizar un dashboard con estadísticas de mi cuartel para tener una visión general del estado de los vehículos</t>
  </si>
  <si>
    <t>HU 4.1</t>
  </si>
  <si>
    <t>Como Jefe Cuartel quiero ver un listado de todos los vehículos para consultar su estado y detalles</t>
  </si>
  <si>
    <t>HU 4.2</t>
  </si>
  <si>
    <t>Como Jefe Cuartel quiero crear un nuevo vehículo para mantener actualizado el registro de la flota</t>
  </si>
  <si>
    <t>Como Jede Cuartel quiero editar la información de un vehículo para mantener los datos actualizados</t>
  </si>
  <si>
    <t>Como Jefe Cuartel quiero eliminar un vehículo del registro para mantener solo información relevante</t>
  </si>
  <si>
    <t>Como Jefe Cuartel quiero ver el historial de cambios de estado de un vehículo para conocer su trayectoria de mantenimiento</t>
  </si>
  <si>
    <t>Como Jefe Cuartel quiero crear solicitudes de mantenmiento para los vehículos para que sean procesadas por los talleres</t>
  </si>
  <si>
    <t>Como Jefe Cuartel quiero ver el listado de solicitudes de mantenimiento para hacer seguimiento de su estado</t>
  </si>
  <si>
    <t>Como Jefe Cuartel quiero ver el detalle de una solicitud para conocer su estado y respuesta</t>
  </si>
  <si>
    <t>Como Jefe Cuartel quiero gestionar los usuarios de mi cuartel para controlar quien tiene acceso</t>
  </si>
  <si>
    <t>Como Jefe Cuartel quiero crear un nuevo usuario para dar acceso a miembros del cuartel</t>
  </si>
  <si>
    <t>Como Jefe Cuartel quiero editar la información de un usuario para actualizar sus datos o cambiar su rol</t>
  </si>
  <si>
    <t>Como Jefe Cuartel quiero desactivar o activar usuarios para controlar el acceso sin eliminar cuentas</t>
  </si>
  <si>
    <t>HU 4.3</t>
  </si>
  <si>
    <t>HU 4.4</t>
  </si>
  <si>
    <t>HU 4.5</t>
  </si>
  <si>
    <t>HU 4.6</t>
  </si>
  <si>
    <t>HU 4.7</t>
  </si>
  <si>
    <t>HU 4.8</t>
  </si>
  <si>
    <t>HU 4.9</t>
  </si>
  <si>
    <t>HU 4.10</t>
  </si>
  <si>
    <t>HU 4.11</t>
  </si>
  <si>
    <t>HU 4.12</t>
  </si>
  <si>
    <t>HU 4.13</t>
  </si>
  <si>
    <t>WEB_416</t>
  </si>
  <si>
    <t xml:space="preserve"> Mostrar tarjeta con el total de vehículos del cuartel</t>
  </si>
  <si>
    <t>Mostrar tarjeta con vehículos disponibles</t>
  </si>
  <si>
    <t>Mostrar tarjeta con vehículos en mantención</t>
  </si>
  <si>
    <t>Mostrar tarjeta con vehículos de baja</t>
  </si>
  <si>
    <t>Mostrar gráfico de distribución de vehículos por tipo</t>
  </si>
  <si>
    <t>Mostrar listado de vehículos recientes con estado</t>
  </si>
  <si>
    <t>Mostrar nombre del cuartel en el encabezado del dashboard</t>
  </si>
  <si>
    <t>WEB_417</t>
  </si>
  <si>
    <t>WEB_418</t>
  </si>
  <si>
    <t>WEB_419</t>
  </si>
  <si>
    <t>WEB_420</t>
  </si>
  <si>
    <t>WEB_421</t>
  </si>
  <si>
    <t>Sección de acceso rápido con botones a funcionalidades principales</t>
  </si>
  <si>
    <t>Enlace rápido "Ver Vehículos" que redirige al listado completo</t>
  </si>
  <si>
    <t>Enlace rápido "Solicitudes" que redirige a solicitudes de mantenimiento</t>
  </si>
  <si>
    <t>Enlace rápido "Gestionar Usuarios" (solo visible para Jefe Cuartel)</t>
  </si>
  <si>
    <t>WEB_422</t>
  </si>
  <si>
    <t>WEB_423</t>
  </si>
  <si>
    <t>WEB_424</t>
  </si>
  <si>
    <t>WEB_425</t>
  </si>
  <si>
    <t>WEB_426</t>
  </si>
  <si>
    <t>WEB_427</t>
  </si>
  <si>
    <t>Mostrar tabla con listado de vehículos (patente, tipo, marca/modelo, año, estado, kilometraje)</t>
  </si>
  <si>
    <t>Botón "Agregar Vehículo" visible solo para Jefe Cuartel</t>
  </si>
  <si>
    <t>Filtro por estado del vehículo con dropdown de opciones</t>
  </si>
  <si>
    <t>Filtro por tipo de vehículo con dropdown de opciones</t>
  </si>
  <si>
    <t>Campo de búsqueda por patente con filtrado en tiempo real</t>
  </si>
  <si>
    <t>Buscador de texto para filtrar en la tabla localmente</t>
  </si>
  <si>
    <t>Badge de color según el estado del vehículo (Verde=Disponible, Amarillo=Mantención, Rojo=Baja)</t>
  </si>
  <si>
    <t>Hacer clic en una fila para ver detalles del vehículo en modal</t>
  </si>
  <si>
    <t>Botón "Ver Historial" para ver cambios de estado del vehículo</t>
  </si>
  <si>
    <t>Botón "Editar" visible solo para Jefe Cuartel</t>
  </si>
  <si>
    <t>Botón "Eliminar" con confirmación, visible solo para Jefe Cuartel</t>
  </si>
  <si>
    <t>Mensaje "No hay vehículos registrados" cuando la lista está vacía</t>
  </si>
  <si>
    <t>Loader/spinner mientras se aplican filtros</t>
  </si>
  <si>
    <t>WEB_428</t>
  </si>
  <si>
    <t>WEB_429</t>
  </si>
  <si>
    <t>WEB_430</t>
  </si>
  <si>
    <t>WEB_431</t>
  </si>
  <si>
    <t>WEB_432</t>
  </si>
  <si>
    <t>WEB_433</t>
  </si>
  <si>
    <t>WEB_434</t>
  </si>
  <si>
    <t>WEB_435</t>
  </si>
  <si>
    <t>WEB_436</t>
  </si>
  <si>
    <t>WEB_437</t>
  </si>
  <si>
    <t>WEB_438</t>
  </si>
  <si>
    <t>WEB_439</t>
  </si>
  <si>
    <t>Modal "Crear Vehículo" que se abre con botón</t>
  </si>
  <si>
    <t>Campo obligatorio "Patente" con validación de formato (4-10 caracteres alfanuméricos)</t>
  </si>
  <si>
    <t>Campo obligatorio "Marca"</t>
  </si>
  <si>
    <t>Campo obligatorio "Modelo"</t>
  </si>
  <si>
    <t>Campo obligatorio "Año" con validación de rango (1900-2100)</t>
  </si>
  <si>
    <t>Dropdown "Tipo de Vehículo" con opciones del catálogo</t>
  </si>
  <si>
    <t>Dropdown "Estado" con opciones del catálogo</t>
  </si>
  <si>
    <t>Campo opcional "Kilometraje" con validación numérica</t>
  </si>
  <si>
    <t>Campo opcional "Capacidad de Aceite (litros)" con validación decimal</t>
  </si>
  <si>
    <t>Campo opcional "Fecha de Inscripción" con selector de fecha</t>
  </si>
  <si>
    <t>Campo opcional "Próxima Revisión Técnica" con selector de fecha</t>
  </si>
  <si>
    <t>Dropdown opcional "Tipo de Combustible"</t>
  </si>
  <si>
    <t>Dropdown opcional "Tipo de Transmisión"</t>
  </si>
  <si>
    <t>Dropdown opcional "Tipo de Aceite"</t>
  </si>
  <si>
    <t>Dropdown opcional "Tipo de Refrigerante"</t>
  </si>
  <si>
    <t>Botón "Guardar" para crear el vehículo</t>
  </si>
  <si>
    <t>Botón "Cancelar" para cerrar el modal sin guardar</t>
  </si>
  <si>
    <t>Validar que la patente no esté duplicada</t>
  </si>
  <si>
    <t>Mostrar errores de validación debajo de cada campo</t>
  </si>
  <si>
    <t>Mensaje de éxito al crear el vehículo correctamente</t>
  </si>
  <si>
    <t>Recargar listado automáticamente tras creación exitosa</t>
  </si>
  <si>
    <t>WEB_440</t>
  </si>
  <si>
    <t>WEB_441</t>
  </si>
  <si>
    <t>WEB_442</t>
  </si>
  <si>
    <t>WEB_443</t>
  </si>
  <si>
    <t>WEB_444</t>
  </si>
  <si>
    <t>WEB_445</t>
  </si>
  <si>
    <t>WEB_446</t>
  </si>
  <si>
    <t>WEB_447</t>
  </si>
  <si>
    <t>WEB_448</t>
  </si>
  <si>
    <t>WEB_449</t>
  </si>
  <si>
    <t>WEB_450</t>
  </si>
  <si>
    <t>WEB_451</t>
  </si>
  <si>
    <t>WEB_452</t>
  </si>
  <si>
    <t>WEB_453</t>
  </si>
  <si>
    <t>WEB_454</t>
  </si>
  <si>
    <t>WEB_455</t>
  </si>
  <si>
    <t>WEB_456</t>
  </si>
  <si>
    <t>WEB_457</t>
  </si>
  <si>
    <t>WEB_458</t>
  </si>
  <si>
    <t>WEB_459</t>
  </si>
  <si>
    <t>WEB_460</t>
  </si>
  <si>
    <t>WEB_461</t>
  </si>
  <si>
    <t>WEB_462</t>
  </si>
  <si>
    <t>Modal "Editar Vehículo" que se abre con botón de edición</t>
  </si>
  <si>
    <t>Pre-cargar todos los datos actuales del vehículo en el formulario</t>
  </si>
  <si>
    <t>Campo "Patente" no editable (solo lectura)</t>
  </si>
  <si>
    <t>Campo "Número de Motor" no editable (solo lectura)</t>
  </si>
  <si>
    <t>Campo "VIN/Chasis" no editable (solo lectura)</t>
  </si>
  <si>
    <t>Permitir edición de marca, modelo, año</t>
  </si>
  <si>
    <t>Permitir cambio de tipo y estado del vehículo</t>
  </si>
  <si>
    <t>Permitir actualización de kilometraje</t>
  </si>
  <si>
    <t>Permitir actualización de fechas (inscripción, revisión técnica)</t>
  </si>
  <si>
    <t>Botón "Actualizar" para guardar cambios</t>
  </si>
  <si>
    <t>Botón "Cancelar" para cerrar sin guardar</t>
  </si>
  <si>
    <t>Mensaje de éxito al actualizar correctamente</t>
  </si>
  <si>
    <t>Recargar listado automáticamente tras actualización exitosa</t>
  </si>
  <si>
    <t>WEB_463</t>
  </si>
  <si>
    <t>WEB_464</t>
  </si>
  <si>
    <t>WEB_465</t>
  </si>
  <si>
    <t>WEB_466</t>
  </si>
  <si>
    <t>WEB_467</t>
  </si>
  <si>
    <t>WEB_468</t>
  </si>
  <si>
    <t>WEB_469</t>
  </si>
  <si>
    <t>WEB_470</t>
  </si>
  <si>
    <t>WEB_471</t>
  </si>
  <si>
    <t>WEB_472</t>
  </si>
  <si>
    <t>WEB_473</t>
  </si>
  <si>
    <t>WEB_474</t>
  </si>
  <si>
    <t>WEB_475</t>
  </si>
  <si>
    <t>Mostrar mensaje "Estás seguro de eliminar el vehículo [PATENTE]?"</t>
  </si>
  <si>
    <t>Botón "Sí, Eliminar" en color de advertencia</t>
  </si>
  <si>
    <t>Botón "Cancelar" para abortar la eliminación</t>
  </si>
  <si>
    <t>Mensaje de éxito al eliminar el vehículo</t>
  </si>
  <si>
    <t>Mensaje de error si el vehículo tiene datos asociados y no se puede eliminar</t>
  </si>
  <si>
    <t>WEB_476</t>
  </si>
  <si>
    <t>WEB_477</t>
  </si>
  <si>
    <t>WEB_478</t>
  </si>
  <si>
    <t>WEB_479</t>
  </si>
  <si>
    <t>WEB_480</t>
  </si>
  <si>
    <t>WEB_481</t>
  </si>
  <si>
    <t>Página "Historial - [PATENTE]" con detalles del vehículo</t>
  </si>
  <si>
    <t>Mostrar datos básicos del vehículo en el encabezado</t>
  </si>
  <si>
    <t>Listado cronológico de cambios de estado</t>
  </si>
  <si>
    <t>Mostrar fecha y hora de cada cambio</t>
  </si>
  <si>
    <t>Mostrar estado anterior y nuevo estado</t>
  </si>
  <si>
    <t>Botón "Volver" para regresar al listado de vehículos</t>
  </si>
  <si>
    <t>WEB_482</t>
  </si>
  <si>
    <t>WEB_483</t>
  </si>
  <si>
    <t>WEB_484</t>
  </si>
  <si>
    <t>WEB_485</t>
  </si>
  <si>
    <t>WEB_486</t>
  </si>
  <si>
    <t>WEB_487</t>
  </si>
  <si>
    <t>Botón "Nueva Solicitud" para abrir modal de creación</t>
  </si>
  <si>
    <t>Dropdown "Vehículo" para seleccionar el vehículo a solicitar</t>
  </si>
  <si>
    <t>Dropdown "Tipo de Solicitud" con opciones del catálogo</t>
  </si>
  <si>
    <t>Campo "Descripción" obligatorio para detallar la solicitud</t>
  </si>
  <si>
    <t>Botón "Cancelar" para cerrar el modal</t>
  </si>
  <si>
    <t>Validar que todos los campos obligatorios estén completos</t>
  </si>
  <si>
    <t>Mensaje de éxito al crear la solicitud</t>
  </si>
  <si>
    <t>WEB_488</t>
  </si>
  <si>
    <t>WEB_489</t>
  </si>
  <si>
    <t>WEB_490</t>
  </si>
  <si>
    <t>WEB_491</t>
  </si>
  <si>
    <t>WEB_492</t>
  </si>
  <si>
    <t>WEB_493</t>
  </si>
  <si>
    <t>WEB_494</t>
  </si>
  <si>
    <t>WEB_495</t>
  </si>
  <si>
    <t>Tabla con listado de solicitudes (ID, fecha, vehículo, tipo, estado, solicitante)</t>
  </si>
  <si>
    <t>Filtro por estado de solicitud</t>
  </si>
  <si>
    <t>Filtro por vehículo</t>
  </si>
  <si>
    <t>Botón "Limpiar Filtros" para resetear filtros aplicados</t>
  </si>
  <si>
    <t>Badge de color según el estado (Gris=Pendiente, Azul=En Revisión, Verde=Aprobada, Rojo=Rechazada, Amarillo=Cancelada)</t>
  </si>
  <si>
    <t>Hacer clic en una fila para ver detalle de la solicitud</t>
  </si>
  <si>
    <t>Botón "Cancelar" visible solo si la solicitud está Pendiente o En Revisión</t>
  </si>
  <si>
    <t>Modal de confirmación antes de cancelar una solicitud</t>
  </si>
  <si>
    <t>Mensaje "No hay solicitudes registradas" cuando la lista está vacía</t>
  </si>
  <si>
    <t>WEB_496</t>
  </si>
  <si>
    <t>WEB_497</t>
  </si>
  <si>
    <t>WEB_498</t>
  </si>
  <si>
    <t>WEB_499</t>
  </si>
  <si>
    <t>WEB_500</t>
  </si>
  <si>
    <t>WEB_501</t>
  </si>
  <si>
    <t>WEB_502</t>
  </si>
  <si>
    <t>WEB_503</t>
  </si>
  <si>
    <t>WEB_504</t>
  </si>
  <si>
    <t>WEB_505</t>
  </si>
  <si>
    <t>Página "Solicitud #[ID]" con todos los detalles</t>
  </si>
  <si>
    <t>Mostrar vehículo asociado con patente y modelo</t>
  </si>
  <si>
    <t>Mostrar tipo de solicitud</t>
  </si>
  <si>
    <t>Mostrar descripción completa</t>
  </si>
  <si>
    <t>Mostrar estado actual con badge de color</t>
  </si>
  <si>
    <t>Mostrar fecha de creación</t>
  </si>
  <si>
    <t>Mostrar datos del solicitante</t>
  </si>
  <si>
    <t>Mostrar notas del administrador si existen</t>
  </si>
  <si>
    <t>Botón "Volver" para regresar al listado</t>
  </si>
  <si>
    <t>WEB_506</t>
  </si>
  <si>
    <t>WEB_507</t>
  </si>
  <si>
    <t>WEB_508</t>
  </si>
  <si>
    <t>WEB_509</t>
  </si>
  <si>
    <t>WEB_510</t>
  </si>
  <si>
    <t>WEB_511</t>
  </si>
  <si>
    <t>WEB_512</t>
  </si>
  <si>
    <t>WEB_513</t>
  </si>
  <si>
    <t>WEB_514</t>
  </si>
  <si>
    <t>Tabla con listado de usuarios (nombre, apellido, email, rol, estado)</t>
  </si>
  <si>
    <t>Botón "Crear Usuario" para abrir modal de creación</t>
  </si>
  <si>
    <t>Badge "Activo" o "Inactivo" según el estado del usuario</t>
  </si>
  <si>
    <t>WEB_515</t>
  </si>
  <si>
    <t>WEB_516</t>
  </si>
  <si>
    <t>WEB_517</t>
  </si>
  <si>
    <t>Campo obligatorio "Email" con validación de formato</t>
  </si>
  <si>
    <t>Campo obligatorio "Contraseña" con mínimo 6 caracteres</t>
  </si>
  <si>
    <t>Campo obligatorio "Confirmar Contraseña" con validación de coincidencia</t>
  </si>
  <si>
    <t>Campo opcional "RUT" con formato 12345678-9</t>
  </si>
  <si>
    <t>Dropdown "Rol" con opciones solo de cuartel (Jefe Cuartel)</t>
  </si>
  <si>
    <t>Botón "Crear Usuario"</t>
  </si>
  <si>
    <t>Validar que el email no esté duplicado</t>
  </si>
  <si>
    <t>Mensaje de éxito al crear el usuario</t>
  </si>
  <si>
    <t>Recargar listado automáticamente</t>
  </si>
  <si>
    <t>WEB_518</t>
  </si>
  <si>
    <t>WEB_519</t>
  </si>
  <si>
    <t>WEB_520</t>
  </si>
  <si>
    <t>WEB_521</t>
  </si>
  <si>
    <t>WEB_522</t>
  </si>
  <si>
    <t>WEB_523</t>
  </si>
  <si>
    <t>WEB_524</t>
  </si>
  <si>
    <t>WEB_525</t>
  </si>
  <si>
    <t>WEB_526</t>
  </si>
  <si>
    <t>WEB_527</t>
  </si>
  <si>
    <t>WEB_528</t>
  </si>
  <si>
    <t>WEB_529</t>
  </si>
  <si>
    <t>WEB_530</t>
  </si>
  <si>
    <t>WEB_531</t>
  </si>
  <si>
    <t>WEB_532</t>
  </si>
  <si>
    <t>Permitir edición de nombre y apellido</t>
  </si>
  <si>
    <t>Permitir edición de RUT y teléfono</t>
  </si>
  <si>
    <t>Checkbox "Activo" para activar/desactivar usuario</t>
  </si>
  <si>
    <t>WEB_533</t>
  </si>
  <si>
    <t>WEB_534</t>
  </si>
  <si>
    <t>WEB_535</t>
  </si>
  <si>
    <t>WEB_536</t>
  </si>
  <si>
    <t>WEB_537</t>
  </si>
  <si>
    <t>WEB_538</t>
  </si>
  <si>
    <t>WEB_539</t>
  </si>
  <si>
    <t>WEB_540</t>
  </si>
  <si>
    <t>Botón "Desactivar" visible solo si el usuario está activo</t>
  </si>
  <si>
    <t>Botón "Activar" visible solo si el usuario está inactivo</t>
  </si>
  <si>
    <t>Prevenir que el Jefe se desactive a sí mismo</t>
  </si>
  <si>
    <t>Mensaje de confirmación antes de desactivar</t>
  </si>
  <si>
    <t>WEB_541</t>
  </si>
  <si>
    <t>WEB_542</t>
  </si>
  <si>
    <t>WEB_543</t>
  </si>
  <si>
    <t>WEB_544</t>
  </si>
  <si>
    <t>WEB_545</t>
  </si>
  <si>
    <t>Sprint</t>
  </si>
  <si>
    <t>Sprint 1</t>
  </si>
  <si>
    <t>Tablero Sprint:</t>
  </si>
  <si>
    <t>Epica</t>
  </si>
  <si>
    <t>Historia</t>
  </si>
  <si>
    <t>Sprint 2</t>
  </si>
  <si>
    <t>Sprint 0</t>
  </si>
  <si>
    <t>Sprint 3</t>
  </si>
  <si>
    <t>Sprint 4</t>
  </si>
  <si>
    <t>Sprint 5</t>
  </si>
  <si>
    <t>Sprint 6</t>
  </si>
  <si>
    <t>HU 2.34</t>
  </si>
  <si>
    <t>Como Admin SIGVE quiero gestionar el catálogo de vehículos del sistema para poder ver el listado, filtrar y registrar nuevos vehículos.</t>
  </si>
  <si>
    <t>Crear la nueva página "Gestión de Vehículos" en el panel de administración.</t>
  </si>
  <si>
    <t>Implementar la tabla de datos para mostrar el listado de vehículos (Columnas: Patente, Tipo, Modelo, Cuartel, Estado).</t>
  </si>
  <si>
    <t>Añadir controles de filtro en la tabla (ej. campo de búsqueda por patente, filtro por Cuartel, filtro por Estado).</t>
  </si>
  <si>
    <t>Botón "Crear Nuevo Vehículo"</t>
  </si>
  <si>
    <t>Crear modal "Crear Nuevo Vehículo".</t>
  </si>
  <si>
    <t>Añadir formulario en el modal (Campos: Patente, Marca, Modelo, Año, Tipo de Vehículo, Cuartel Asignado, etc.).</t>
  </si>
  <si>
    <t>Botón "Guardar" en el modal de creación (con lógica de validación).</t>
  </si>
  <si>
    <t>Botón "Cancelar" en el modal de creación.</t>
  </si>
  <si>
    <t>Mensaje de éxito al crear el vehículo y refrescar la tabla.</t>
  </si>
  <si>
    <t>Mensaje de error si la patente ya existe o los datos son inválidos.</t>
  </si>
  <si>
    <t>WEB_546</t>
  </si>
  <si>
    <t>WEB_547</t>
  </si>
  <si>
    <t>WEB_548</t>
  </si>
  <si>
    <t>WEB_549</t>
  </si>
  <si>
    <t>WEB_550</t>
  </si>
  <si>
    <t>WEB_551</t>
  </si>
  <si>
    <t>WEB_552</t>
  </si>
  <si>
    <t>WEB_553</t>
  </si>
  <si>
    <t>WEB_554</t>
  </si>
  <si>
    <t>WEB_555</t>
  </si>
  <si>
    <t>Postergada</t>
  </si>
  <si>
    <t>Botón "Crear Repuesto" para abrir formulario de creación de repuestos</t>
  </si>
  <si>
    <t>Campo obligatorio "Número de Motor"</t>
  </si>
  <si>
    <t>Campo obligatorio "Número de Chasis (VIN)"</t>
  </si>
  <si>
    <t>HU 4.14</t>
  </si>
  <si>
    <t>Como Jefe Cuartel quiero eliminar cuentas de usuarios para mantener un control de los usuarios que tienen acceso al sistema</t>
  </si>
  <si>
    <t>WEB_556</t>
  </si>
  <si>
    <t>WEB_557</t>
  </si>
  <si>
    <t>WEB_558</t>
  </si>
  <si>
    <t>WEB_559</t>
  </si>
  <si>
    <t>WEB_560</t>
  </si>
  <si>
    <t>Sprints</t>
  </si>
  <si>
    <t>Tareas Finalizadas</t>
  </si>
  <si>
    <t>Tareas En Proceso</t>
  </si>
  <si>
    <t>Tareas Sin Iniciar</t>
  </si>
  <si>
    <t>Tareas Postergadas</t>
  </si>
  <si>
    <t>Alcance(R)</t>
  </si>
  <si>
    <t>Impacto(I)</t>
  </si>
  <si>
    <t>Confianza(C)</t>
  </si>
  <si>
    <t>1.0</t>
  </si>
  <si>
    <t>0.8</t>
  </si>
  <si>
    <t>0.5</t>
  </si>
  <si>
    <t>0.7</t>
  </si>
  <si>
    <t>Esfuerzo(E)</t>
  </si>
  <si>
    <t>Puntaje Rice</t>
  </si>
  <si>
    <t>6.0</t>
  </si>
  <si>
    <t>2.5</t>
  </si>
  <si>
    <t>1.2</t>
  </si>
  <si>
    <t>3.0</t>
  </si>
  <si>
    <t>2.0</t>
  </si>
  <si>
    <t>2.67</t>
  </si>
  <si>
    <t>1.6</t>
  </si>
  <si>
    <t>3.3</t>
  </si>
  <si>
    <t>4.0</t>
  </si>
  <si>
    <t>3.33</t>
  </si>
  <si>
    <t>0.19</t>
  </si>
  <si>
    <t>2.4</t>
  </si>
  <si>
    <t>2.6</t>
  </si>
  <si>
    <t>2.25</t>
  </si>
  <si>
    <t>4.8</t>
  </si>
  <si>
    <t>5.33</t>
  </si>
  <si>
    <t>0.96</t>
  </si>
  <si>
    <t>8.0</t>
  </si>
  <si>
    <t>5.0</t>
  </si>
  <si>
    <t>0.98</t>
  </si>
  <si>
    <t>1.88</t>
  </si>
  <si>
    <t>1.92</t>
  </si>
  <si>
    <t>3.2</t>
  </si>
  <si>
    <t>4.5</t>
  </si>
  <si>
    <t>7.5</t>
  </si>
  <si>
    <t xml:space="preserve">Para ver los demas Sprints cambiar casilla de abajo </t>
  </si>
  <si>
    <t>HU 5.1</t>
  </si>
  <si>
    <t>APP_010</t>
  </si>
  <si>
    <t>Sprint 7</t>
  </si>
  <si>
    <t>APP_011</t>
  </si>
  <si>
    <t>Como Jefe de Cuartel quiero ver un dashboard con estadísticas y resumen de mis vehículos para tener una visión general del estado operativo del cuartel</t>
  </si>
  <si>
    <t xml:space="preserve">Crear pantalla principal del dashboard </t>
  </si>
  <si>
    <t>Implementar tarjetas de estadísticas del  dashboard</t>
  </si>
  <si>
    <t>Implementar sistema de alertas en dashboard</t>
  </si>
  <si>
    <t>Implementar búsqueda de vehículos en dashboard</t>
  </si>
  <si>
    <t xml:space="preserve">Implementar filtros por estado en dashboard </t>
  </si>
  <si>
    <t xml:space="preserve">Implementar lista de vehículos en dashboard </t>
  </si>
  <si>
    <t>Crear pantalla de listado completo de vehículos</t>
  </si>
  <si>
    <t xml:space="preserve"> Como Jefe de Cuartel quiero ver el listado completo de vehículos para tener una vista más detallada y navegar al historial de cada vehículo</t>
  </si>
  <si>
    <t>APP_012</t>
  </si>
  <si>
    <t>APP_013</t>
  </si>
  <si>
    <t>APP_014</t>
  </si>
  <si>
    <t>APP_015</t>
  </si>
  <si>
    <t>APP_016</t>
  </si>
  <si>
    <t>HU 5.2</t>
  </si>
  <si>
    <t>Implementar búsqueda y filtros en lista de vehículos</t>
  </si>
  <si>
    <t>Implementar visualización de vehículos en Lista</t>
  </si>
  <si>
    <t>APP_017</t>
  </si>
  <si>
    <t>APP_018</t>
  </si>
  <si>
    <t>Implementar visualización de cambios de estado</t>
  </si>
  <si>
    <t>APP_019</t>
  </si>
  <si>
    <t>Como Admin Taller o Mecánico quiero ver un dashboard con resumen del taller para tener una visión general del estado de las mantenciones</t>
  </si>
  <si>
    <t>HU 5.3</t>
  </si>
  <si>
    <t>APP_020</t>
  </si>
  <si>
    <t>Implementar tarjetas principales de estadísticas</t>
  </si>
  <si>
    <t>Crear pantalla principal del dashboard de taller</t>
  </si>
  <si>
    <t>Implementar acciones rápidas en dashboard</t>
  </si>
  <si>
    <t xml:space="preserve">Implementar filtros </t>
  </si>
  <si>
    <t>APP_021</t>
  </si>
  <si>
    <t>APP_022</t>
  </si>
  <si>
    <t>Como Admin Taller o Mecánico quiero ver el listado de órdenes de mantención del taller para gestionar las mantenciones activas y completadas</t>
  </si>
  <si>
    <t>HU 5.4</t>
  </si>
  <si>
    <t>APP_023</t>
  </si>
  <si>
    <t>APP_024</t>
  </si>
  <si>
    <t>APP_025</t>
  </si>
  <si>
    <t>APP_026</t>
  </si>
  <si>
    <t>APP_027</t>
  </si>
  <si>
    <t>APP_028</t>
  </si>
  <si>
    <t>APP_029</t>
  </si>
  <si>
    <t>APP_030</t>
  </si>
  <si>
    <t>Crear pantalla principal de mantenciones</t>
  </si>
  <si>
    <t>Implementar lista de órdenes de mantención</t>
  </si>
  <si>
    <t>Implementar toggle de órdenes completadas</t>
  </si>
  <si>
    <t>Implementar sistema de búsqueda en mantenciones</t>
  </si>
  <si>
    <t>Implementar filtro por estado de orden</t>
  </si>
  <si>
    <t>Implementar filtro por tipo de mantención</t>
  </si>
  <si>
    <t>Implementar filtro por cuartel de origen</t>
  </si>
  <si>
    <t>APP_031</t>
  </si>
  <si>
    <t>APP_032</t>
  </si>
  <si>
    <t>APP_033</t>
  </si>
  <si>
    <t>APP_034</t>
  </si>
  <si>
    <t>APP_035</t>
  </si>
  <si>
    <t>APP_036</t>
  </si>
  <si>
    <t>APP_037</t>
  </si>
  <si>
    <t>APP_038</t>
  </si>
  <si>
    <t>APP_039</t>
  </si>
  <si>
    <t>APP_040</t>
  </si>
  <si>
    <t>APP_041</t>
  </si>
  <si>
    <t>APP_042</t>
  </si>
  <si>
    <t>HU 5.5</t>
  </si>
  <si>
    <t>Como Admin Taller o Mecánico quiero ver un resumen del inventario del taller para conocer el estado general del inventario</t>
  </si>
  <si>
    <t>APP_043</t>
  </si>
  <si>
    <t>APP_044</t>
  </si>
  <si>
    <t>APP_045</t>
  </si>
  <si>
    <t>APP_046</t>
  </si>
  <si>
    <t>APP_047</t>
  </si>
  <si>
    <t>APP_048</t>
  </si>
  <si>
    <t>APP_049</t>
  </si>
  <si>
    <t>APP_050</t>
  </si>
  <si>
    <t>APP_051</t>
  </si>
  <si>
    <t>Implementar gestión crud de inventario</t>
  </si>
  <si>
    <t>Crear diálogo de confirmación de eliminación</t>
  </si>
  <si>
    <t>Crear diálogo de editar repuesto del inventario</t>
  </si>
  <si>
    <t>Crear diálogo de agregar repuesto al inventario</t>
  </si>
  <si>
    <t>Implementar lista de items del inventario</t>
  </si>
  <si>
    <t>Implementar filtro de disponibilidad</t>
  </si>
  <si>
    <t>Implementar sistema de búsqueda en inventario</t>
  </si>
  <si>
    <t>Implementar estadísticas del inventario</t>
  </si>
  <si>
    <t>Crear pantalla principal de inventario</t>
  </si>
  <si>
    <t>Crear diálogo de agregar repuesto a tarea</t>
  </si>
  <si>
    <t>Implementar gestión de repuestos por tarea</t>
  </si>
  <si>
    <t>Crear diálogo de agregar tarea</t>
  </si>
  <si>
    <t>Implementar gestión de tareas realizadas</t>
  </si>
  <si>
    <t>Implementar guardado de cambios en orden</t>
  </si>
  <si>
    <t>Implementar selector de fecha de salida</t>
  </si>
  <si>
    <t>Implementar campo de observaciones</t>
  </si>
  <si>
    <t>Implementar edición de información de la orden</t>
  </si>
  <si>
    <t>Implementar resumen de costos de la orden</t>
  </si>
  <si>
    <t>Implementar información del vehículo en detalle</t>
  </si>
  <si>
    <t>Crear pantalla de detalle de orden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</si>
</sst>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  <family val="2"/>
    </font>
    <font>
      <sz val="8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6600FF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C66FF"/>
        <bgColor indexed="64"/>
      </patternFill>
    </fill>
    <fill>
      <patternFill patternType="solid">
        <fgColor rgb="FF0070C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9"/>
      </left>
      <right style="thin">
        <color theme="9"/>
      </right>
      <top style="thin">
        <color theme="9"/>
      </top>
      <bottom style="thin">
        <color theme="9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9" fontId="7" fillId="0" borderId="0" applyFont="0" applyFill="0" applyBorder="0" applyAlignment="0" applyProtection="0"/>
  </cellStyleXfs>
  <cellXfs count="50">
    <xf numFmtId="0" fontId="0" fillId="0" borderId="0" xfId="0"/>
    <xf numFmtId="0" fontId="1" fillId="0" borderId="0" xfId="0" applyFont="1"/>
    <xf numFmtId="0" fontId="0" fillId="0" borderId="1" xfId="0" applyBorder="1"/>
    <xf numFmtId="0" fontId="4" fillId="2" borderId="1" xfId="0" applyFont="1" applyFill="1" applyBorder="1"/>
    <xf numFmtId="0" fontId="1" fillId="3" borderId="1" xfId="0" applyFont="1" applyFill="1" applyBorder="1"/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  <xf numFmtId="0" fontId="1" fillId="4" borderId="1" xfId="0" applyFont="1" applyFill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4" fillId="2" borderId="7" xfId="0" applyFont="1" applyFill="1" applyBorder="1"/>
    <xf numFmtId="0" fontId="4" fillId="2" borderId="8" xfId="0" applyFont="1" applyFill="1" applyBorder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0" borderId="2" xfId="0" applyBorder="1" applyAlignment="1">
      <alignment vertical="center"/>
    </xf>
    <xf numFmtId="0" fontId="0" fillId="0" borderId="2" xfId="0" applyBorder="1"/>
    <xf numFmtId="0" fontId="0" fillId="0" borderId="1" xfId="0" applyBorder="1" applyAlignment="1">
      <alignment wrapText="1"/>
    </xf>
    <xf numFmtId="0" fontId="2" fillId="0" borderId="2" xfId="0" applyFont="1" applyBorder="1" applyAlignment="1">
      <alignment vertical="center" wrapText="1"/>
    </xf>
    <xf numFmtId="0" fontId="0" fillId="0" borderId="6" xfId="0" applyBorder="1" applyAlignment="1">
      <alignment horizontal="left" vertical="center"/>
    </xf>
    <xf numFmtId="0" fontId="2" fillId="0" borderId="3" xfId="0" applyFont="1" applyBorder="1" applyAlignment="1">
      <alignment vertical="center" wrapText="1"/>
    </xf>
    <xf numFmtId="0" fontId="0" fillId="0" borderId="4" xfId="0" applyBorder="1" applyAlignment="1">
      <alignment horizontal="left" vertical="center" wrapText="1"/>
    </xf>
    <xf numFmtId="0" fontId="0" fillId="0" borderId="4" xfId="0" applyBorder="1" applyAlignment="1">
      <alignment horizontal="left" vertical="center"/>
    </xf>
    <xf numFmtId="0" fontId="5" fillId="4" borderId="7" xfId="0" applyFont="1" applyFill="1" applyBorder="1" applyAlignment="1">
      <alignment vertical="center"/>
    </xf>
    <xf numFmtId="0" fontId="5" fillId="4" borderId="8" xfId="0" applyFont="1" applyFill="1" applyBorder="1" applyAlignment="1">
      <alignment horizontal="left" vertical="center"/>
    </xf>
    <xf numFmtId="0" fontId="0" fillId="0" borderId="0" xfId="0" applyAlignment="1">
      <alignment wrapText="1"/>
    </xf>
    <xf numFmtId="0" fontId="1" fillId="5" borderId="0" xfId="0" applyFont="1" applyFill="1"/>
    <xf numFmtId="0" fontId="1" fillId="7" borderId="0" xfId="0" applyFont="1" applyFill="1"/>
    <xf numFmtId="0" fontId="1" fillId="6" borderId="0" xfId="0" applyFont="1" applyFill="1" applyAlignment="1">
      <alignment wrapText="1"/>
    </xf>
    <xf numFmtId="0" fontId="1" fillId="5" borderId="0" xfId="0" applyFont="1" applyFill="1" applyAlignment="1">
      <alignment wrapText="1"/>
    </xf>
    <xf numFmtId="0" fontId="6" fillId="0" borderId="0" xfId="0" applyFont="1" applyAlignment="1">
      <alignment vertical="center"/>
    </xf>
    <xf numFmtId="0" fontId="6" fillId="0" borderId="0" xfId="0" applyFont="1" applyAlignment="1">
      <alignment vertical="center" wrapText="1"/>
    </xf>
    <xf numFmtId="0" fontId="0" fillId="0" borderId="0" xfId="0" applyAlignment="1">
      <alignment horizontal="left" vertical="center" wrapText="1"/>
    </xf>
    <xf numFmtId="0" fontId="1" fillId="8" borderId="1" xfId="0" applyFont="1" applyFill="1" applyBorder="1"/>
    <xf numFmtId="0" fontId="1" fillId="9" borderId="1" xfId="0" applyFont="1" applyFill="1" applyBorder="1"/>
    <xf numFmtId="0" fontId="1" fillId="4" borderId="1" xfId="0" applyFont="1" applyFill="1" applyBorder="1"/>
    <xf numFmtId="0" fontId="1" fillId="10" borderId="1" xfId="0" applyFont="1" applyFill="1" applyBorder="1"/>
    <xf numFmtId="0" fontId="1" fillId="11" borderId="1" xfId="0" applyFont="1" applyFill="1" applyBorder="1"/>
    <xf numFmtId="0" fontId="1" fillId="12" borderId="1" xfId="0" applyFont="1" applyFill="1" applyBorder="1"/>
    <xf numFmtId="164" fontId="0" fillId="0" borderId="0" xfId="1" applyNumberFormat="1" applyFont="1"/>
    <xf numFmtId="0" fontId="1" fillId="3" borderId="7" xfId="0" applyFont="1" applyFill="1" applyBorder="1" applyAlignment="1">
      <alignment horizontal="left" vertical="center"/>
    </xf>
    <xf numFmtId="0" fontId="1" fillId="3" borderId="8" xfId="0" applyFont="1" applyFill="1" applyBorder="1" applyAlignment="1">
      <alignment horizontal="left" vertical="center"/>
    </xf>
    <xf numFmtId="0" fontId="1" fillId="3" borderId="5" xfId="0" applyFont="1" applyFill="1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9" xfId="0" applyBorder="1" applyAlignment="1">
      <alignment horizontal="left" vertical="center" wrapText="1"/>
    </xf>
    <xf numFmtId="0" fontId="1" fillId="0" borderId="0" xfId="0" applyFont="1" applyAlignment="1">
      <alignment wrapText="1"/>
    </xf>
    <xf numFmtId="0" fontId="0" fillId="0" borderId="0" xfId="0" applyBorder="1" applyAlignment="1">
      <alignment vertical="center" wrapText="1"/>
    </xf>
    <xf numFmtId="0" fontId="0" fillId="0" borderId="10" xfId="0" applyBorder="1" applyAlignment="1">
      <alignment horizontal="left" vertical="center" wrapText="1"/>
    </xf>
    <xf numFmtId="0" fontId="0" fillId="0" borderId="0" xfId="0" applyBorder="1"/>
  </cellXfs>
  <cellStyles count="2">
    <cellStyle name="Normal" xfId="0" builtinId="0"/>
    <cellStyle name="Porcentaje" xfId="1" builtinId="5"/>
  </cellStyles>
  <dxfs count="58"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rgb="FFBA8CDC"/>
        </patternFill>
      </fill>
    </dxf>
    <dxf>
      <fill>
        <patternFill>
          <bgColor theme="4" tint="-0.24994659260841701"/>
        </patternFill>
      </fill>
    </dxf>
    <dxf>
      <fill>
        <patternFill>
          <bgColor theme="5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2" tint="-9.9948118533890809E-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C7CE"/>
        </patternFill>
      </fill>
    </dxf>
    <dxf>
      <fill>
        <patternFill>
          <bgColor theme="2" tint="-9.9948118533890809E-2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theme="0" tint="-0.14996795556505021"/>
        </patternFill>
      </fill>
    </dxf>
    <dxf>
      <fill>
        <patternFill>
          <bgColor theme="8" tint="0.39994506668294322"/>
        </patternFill>
      </fill>
    </dxf>
    <dxf>
      <font>
        <color auto="1"/>
      </font>
      <fill>
        <patternFill>
          <bgColor rgb="FF00B050"/>
        </patternFill>
      </fill>
    </dxf>
    <dxf>
      <fill>
        <patternFill>
          <bgColor theme="4" tint="-0.24994659260841701"/>
        </patternFill>
      </fill>
    </dxf>
    <dxf>
      <fill>
        <patternFill>
          <bgColor theme="5" tint="-0.24994659260841701"/>
        </patternFill>
      </fill>
    </dxf>
    <dxf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</border>
    </dxf>
    <dxf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00B050"/>
        </patternFill>
      </fill>
      <alignment horizontal="left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family val="2"/>
        <scheme val="none"/>
      </font>
      <alignment horizontal="general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rgb="FFFFFF00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6600FF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CC66FF"/>
      <color rgb="FFBA8CDC"/>
      <color rgb="FF66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8B4-49EF-8BA1-345C5B28CE6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A99-4ED7-BFFE-FCCB7053F49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EA99-4ED7-BFFE-FCCB7053F49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A99-4ED7-BFFE-FCCB7053F49A}"/>
              </c:ext>
            </c:extLst>
          </c:dPt>
          <c:dLbls>
            <c:dLbl>
              <c:idx val="1"/>
              <c:layout>
                <c:manualLayout>
                  <c:x val="-5.9187819207118984E-2"/>
                  <c:y val="2.3280923757724389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EA99-4ED7-BFFE-FCCB7053F49A}"/>
                </c:ext>
              </c:extLst>
            </c:dLbl>
            <c:dLbl>
              <c:idx val="2"/>
              <c:layout>
                <c:manualLayout>
                  <c:x val="1.7408182119740878E-2"/>
                  <c:y val="-9.3123695030897843E-3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EA99-4ED7-BFFE-FCCB7053F49A}"/>
                </c:ext>
              </c:extLst>
            </c:dLbl>
            <c:dLbl>
              <c:idx val="3"/>
              <c:layout>
                <c:manualLayout>
                  <c:x val="9.4004183446600748E-2"/>
                  <c:y val="0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A99-4ED7-BFFE-FCCB7053F49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'Estadísticas Sprints'!$H$4:$H$7</c:f>
              <c:strCache>
                <c:ptCount val="4"/>
                <c:pt idx="0">
                  <c:v>Tareas Finalizadas</c:v>
                </c:pt>
                <c:pt idx="1">
                  <c:v>Tareas En Proceso</c:v>
                </c:pt>
                <c:pt idx="2">
                  <c:v>Tareas Sin Iniciar</c:v>
                </c:pt>
                <c:pt idx="3">
                  <c:v>Tareas Postergadas</c:v>
                </c:pt>
              </c:strCache>
            </c:strRef>
          </c:cat>
          <c:val>
            <c:numRef>
              <c:f>'Estadísticas Sprints'!$J$4:$J$7</c:f>
              <c:numCache>
                <c:formatCode>0.0%</c:formatCode>
                <c:ptCount val="4"/>
                <c:pt idx="0">
                  <c:v>0.9360967184801382</c:v>
                </c:pt>
                <c:pt idx="1">
                  <c:v>3.7996545768566495E-2</c:v>
                </c:pt>
                <c:pt idx="2">
                  <c:v>3.4542314335060447E-3</c:v>
                </c:pt>
                <c:pt idx="3">
                  <c:v>2.2452504317789293E-2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A99-4ED7-BFFE-FCCB7053F49A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'Estadísticas Sprints'!$H$4:$H$7</c:f>
              <c:strCache>
                <c:ptCount val="4"/>
                <c:pt idx="0">
                  <c:v>Tareas Finalizadas</c:v>
                </c:pt>
                <c:pt idx="1">
                  <c:v>Tareas En Proceso</c:v>
                </c:pt>
                <c:pt idx="2">
                  <c:v>Tareas Sin Iniciar</c:v>
                </c:pt>
                <c:pt idx="3">
                  <c:v>Tareas Postergadas</c:v>
                </c:pt>
              </c:strCache>
            </c:strRef>
          </c:cat>
          <c:val>
            <c:numRef>
              <c:f>'Estadísticas Sprints'!$I$4:$I$7</c:f>
              <c:numCache>
                <c:formatCode>General</c:formatCode>
                <c:ptCount val="4"/>
                <c:pt idx="0">
                  <c:v>542</c:v>
                </c:pt>
                <c:pt idx="1">
                  <c:v>22</c:v>
                </c:pt>
                <c:pt idx="2">
                  <c:v>2</c:v>
                </c:pt>
                <c:pt idx="3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14-45EB-B5C0-C40E33D152F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357030496"/>
        <c:axId val="1357025216"/>
      </c:barChart>
      <c:catAx>
        <c:axId val="13570304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357025216"/>
        <c:crosses val="autoZero"/>
        <c:auto val="1"/>
        <c:lblAlgn val="ctr"/>
        <c:lblOffset val="100"/>
        <c:noMultiLvlLbl val="0"/>
      </c:catAx>
      <c:valAx>
        <c:axId val="13570252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3570304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340290</xdr:colOff>
      <xdr:row>2</xdr:row>
      <xdr:rowOff>135946</xdr:rowOff>
    </xdr:from>
    <xdr:to>
      <xdr:col>15</xdr:col>
      <xdr:colOff>129276</xdr:colOff>
      <xdr:row>5</xdr:row>
      <xdr:rowOff>112499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CuadroTexto 2">
              <a:extLst>
                <a:ext uri="{FF2B5EF4-FFF2-40B4-BE49-F238E27FC236}">
                  <a16:creationId xmlns:a16="http://schemas.microsoft.com/office/drawing/2014/main" id="{E35F02BC-745C-B402-4524-45DA0AF20BA8}"/>
                </a:ext>
              </a:extLst>
            </xdr:cNvPr>
            <xdr:cNvSpPr txBox="1"/>
          </xdr:nvSpPr>
          <xdr:spPr>
            <a:xfrm>
              <a:off x="14356896" y="499469"/>
              <a:ext cx="3738802" cy="703599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CL" sz="1100" b="0" i="1">
                        <a:latin typeface="Cambria Math" panose="02040503050406030204" pitchFamily="18" charset="0"/>
                      </a:rPr>
                      <m:t>𝑃𝑢𝑛𝑡𝑎𝑗𝑒</m:t>
                    </m:r>
                    <m:r>
                      <a:rPr lang="es-CL" sz="1100" b="0" i="1">
                        <a:latin typeface="Cambria Math" panose="02040503050406030204" pitchFamily="18" charset="0"/>
                      </a:rPr>
                      <m:t> </m:t>
                    </m:r>
                    <m:r>
                      <a:rPr lang="es-CL" sz="1100" b="0" i="1">
                        <a:latin typeface="Cambria Math" panose="02040503050406030204" pitchFamily="18" charset="0"/>
                      </a:rPr>
                      <m:t>𝐴𝑅𝑅𝑂𝑍</m:t>
                    </m:r>
                    <m:r>
                      <a:rPr lang="es-CL" sz="1100" b="0" i="1">
                        <a:latin typeface="Cambria Math" panose="02040503050406030204" pitchFamily="18" charset="0"/>
                      </a:rPr>
                      <m:t>= </m:t>
                    </m:r>
                    <m:f>
                      <m:fPr>
                        <m:ctrlPr>
                          <a:rPr lang="es-CL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s-CL" sz="1100" b="0" i="1">
                            <a:latin typeface="Cambria Math" panose="02040503050406030204" pitchFamily="18" charset="0"/>
                          </a:rPr>
                          <m:t>𝐴𝑙𝑐𝑎𝑛𝑐𝑒</m:t>
                        </m:r>
                        <m:r>
                          <a:rPr lang="es-CL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×</m:t>
                        </m:r>
                        <m:r>
                          <a:rPr lang="es-CL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𝐼𝑚𝑝𝑎𝑐𝑡𝑜</m:t>
                        </m:r>
                        <m:r>
                          <a:rPr lang="es-CL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 ×</m:t>
                        </m:r>
                        <m:r>
                          <a:rPr lang="es-CL" sz="1100" b="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𝐶𝑜𝑛𝑓𝑖𝑎𝑛𝑧𝑎</m:t>
                        </m:r>
                      </m:num>
                      <m:den>
                        <m:r>
                          <a:rPr lang="es-CL" sz="1100" b="0" i="1">
                            <a:latin typeface="Cambria Math" panose="02040503050406030204" pitchFamily="18" charset="0"/>
                          </a:rPr>
                          <m:t>𝐸𝑠𝑓𝑢𝑒𝑟𝑧𝑜</m:t>
                        </m:r>
                      </m:den>
                    </m:f>
                  </m:oMath>
                </m:oMathPara>
              </a14:m>
              <a:endParaRPr lang="es-CL" sz="1100"/>
            </a:p>
          </xdr:txBody>
        </xdr:sp>
      </mc:Choice>
      <mc:Fallback xmlns="">
        <xdr:sp macro="" textlink="">
          <xdr:nvSpPr>
            <xdr:cNvPr id="3" name="CuadroTexto 2">
              <a:extLst>
                <a:ext uri="{FF2B5EF4-FFF2-40B4-BE49-F238E27FC236}">
                  <a16:creationId xmlns:a16="http://schemas.microsoft.com/office/drawing/2014/main" id="{E35F02BC-745C-B402-4524-45DA0AF20BA8}"/>
                </a:ext>
              </a:extLst>
            </xdr:cNvPr>
            <xdr:cNvSpPr txBox="1"/>
          </xdr:nvSpPr>
          <xdr:spPr>
            <a:xfrm>
              <a:off x="14356896" y="499469"/>
              <a:ext cx="3738802" cy="703599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r>
                <a:rPr lang="es-CL" sz="1100" b="0" i="0">
                  <a:latin typeface="Cambria Math" panose="02040503050406030204" pitchFamily="18" charset="0"/>
                </a:rPr>
                <a:t>𝑃𝑢𝑛𝑡𝑎𝑗𝑒 𝐴𝑅𝑅𝑂𝑍=  (𝐴𝑙𝑐𝑎𝑛𝑐𝑒</a:t>
              </a:r>
              <a:r>
                <a:rPr lang="es-CL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×𝐼𝑚𝑝𝑎𝑐𝑡𝑜 </a:t>
              </a:r>
              <a:r>
                <a:rPr lang="es-CL" sz="1100" b="0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×</a:t>
              </a:r>
              <a:r>
                <a:rPr lang="es-CL" sz="1100" b="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𝐶𝑜𝑛𝑓𝑖𝑎𝑛𝑧𝑎)/</a:t>
              </a:r>
              <a:r>
                <a:rPr lang="es-CL" sz="1100" b="0" i="0">
                  <a:latin typeface="Cambria Math" panose="02040503050406030204" pitchFamily="18" charset="0"/>
                </a:rPr>
                <a:t>𝐸𝑠𝑓𝑢𝑒𝑟𝑧𝑜</a:t>
              </a:r>
              <a:endParaRPr lang="es-CL" sz="1100"/>
            </a:p>
          </xdr:txBody>
        </xdr:sp>
      </mc:Fallback>
    </mc:AlternateContent>
    <xdr:clientData/>
  </xdr:twoCellAnchor>
  <xdr:twoCellAnchor>
    <xdr:from>
      <xdr:col>10</xdr:col>
      <xdr:colOff>344702</xdr:colOff>
      <xdr:row>5</xdr:row>
      <xdr:rowOff>259305</xdr:rowOff>
    </xdr:from>
    <xdr:to>
      <xdr:col>15</xdr:col>
      <xdr:colOff>567441</xdr:colOff>
      <xdr:row>14</xdr:row>
      <xdr:rowOff>206552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CuadroTexto 3">
              <a:extLst>
                <a:ext uri="{FF2B5EF4-FFF2-40B4-BE49-F238E27FC236}">
                  <a16:creationId xmlns:a16="http://schemas.microsoft.com/office/drawing/2014/main" id="{AC477083-1521-C689-3F77-B7698486F5BD}"/>
                </a:ext>
              </a:extLst>
            </xdr:cNvPr>
            <xdr:cNvSpPr txBox="1"/>
          </xdr:nvSpPr>
          <xdr:spPr>
            <a:xfrm>
              <a:off x="14361308" y="1349874"/>
              <a:ext cx="4172555" cy="3218953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s-CL" sz="1100"/>
                <a:t>El objetivo</a:t>
              </a:r>
              <a:r>
                <a:rPr lang="es-CL" sz="1100" baseline="0"/>
                <a:t> principal de RICE es maximizar el valor entregable identificando las historias con la mayor eficiencia (mejor relación Valor/Costo).</a:t>
              </a:r>
            </a:p>
            <a:p>
              <a:endParaRPr lang="es-CL" sz="1100" baseline="0"/>
            </a:p>
            <a:p>
              <a:r>
                <a:rPr lang="es-CL" sz="1100" b="1" baseline="0"/>
                <a:t>Fundamentos de la Metodología ARROZ</a:t>
              </a:r>
            </a:p>
            <a:p>
              <a:endParaRPr lang="es-CL" sz="1100" b="1" baseline="0"/>
            </a:p>
            <a:p>
              <a:r>
                <a:rPr lang="es-CL" sz="1100" b="1" baseline="0"/>
                <a:t>RICE se basa en una fórmula que calcula el índice de prioridad de cada historia:</a:t>
              </a:r>
            </a:p>
            <a:p>
              <a:endParaRPr lang="es-CL" sz="1100" b="1" baseline="0"/>
            </a:p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CL" sz="1100" b="0" i="1">
                        <a:solidFill>
                          <a:schemeClr val="dk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𝑃𝑢𝑛𝑡𝑎𝑗𝑒</m:t>
                    </m:r>
                    <m:r>
                      <a:rPr lang="es-CL" sz="1100" b="0" i="1">
                        <a:solidFill>
                          <a:schemeClr val="dk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s-CL" sz="1100" b="0" i="1">
                        <a:solidFill>
                          <a:schemeClr val="dk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𝐴𝑅𝑅𝑂𝑍</m:t>
                    </m:r>
                    <m:r>
                      <a:rPr lang="es-CL" sz="1100" b="0" i="1">
                        <a:solidFill>
                          <a:schemeClr val="dk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 </m:t>
                    </m:r>
                    <m:f>
                      <m:fPr>
                        <m:ctrlPr>
                          <a:rPr lang="es-CL" sz="1100" b="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r>
                          <a:rPr lang="es-CL" sz="1100" b="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𝐴𝑙𝑐𝑎𝑛𝑐𝑒</m:t>
                        </m:r>
                        <m:r>
                          <a:rPr lang="es-CL" sz="1100" b="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×</m:t>
                        </m:r>
                        <m:r>
                          <a:rPr lang="es-CL" sz="1100" b="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𝐼𝑚𝑝𝑎𝑐𝑡𝑜</m:t>
                        </m:r>
                        <m:r>
                          <a:rPr lang="es-CL" sz="1100" b="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 ×</m:t>
                        </m:r>
                        <m:r>
                          <a:rPr lang="es-CL" sz="1100" b="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𝐶𝑜𝑛𝑓𝑖𝑎𝑛𝑧𝑎</m:t>
                        </m:r>
                      </m:num>
                      <m:den>
                        <m:r>
                          <a:rPr lang="es-CL" sz="1100" b="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𝐸𝑠𝑓𝑢𝑒𝑟𝑧𝑜</m:t>
                        </m:r>
                      </m:den>
                    </m:f>
                  </m:oMath>
                </m:oMathPara>
              </a14:m>
              <a:endParaRPr lang="es-CL">
                <a:effectLst/>
              </a:endParaRPr>
            </a:p>
            <a:p>
              <a:endParaRPr lang="es-CL" sz="1100" b="1" baseline="0"/>
            </a:p>
            <a:p>
              <a:r>
                <a:rPr lang="es-CL" sz="1100" b="1" baseline="0"/>
                <a:t>- Alcance (R) e Impacto (I): </a:t>
              </a:r>
              <a:r>
                <a:rPr lang="es-CL" sz="1100" b="0" baseline="0"/>
                <a:t>Cuantifican el Valor Potencial para el negocio y el usuario.</a:t>
              </a:r>
            </a:p>
            <a:p>
              <a:r>
                <a:rPr lang="es-CL" sz="1100" b="1" baseline="0"/>
                <a:t>- Confianza (C): </a:t>
              </a:r>
              <a:r>
                <a:rPr lang="es-CL" sz="1100" b="0" baseline="0"/>
                <a:t>Ajusta el valor porencial según el riesgo de la estimación.</a:t>
              </a:r>
            </a:p>
            <a:p>
              <a:r>
                <a:rPr lang="es-CL" sz="1100" b="0" baseline="0"/>
                <a:t>- </a:t>
              </a:r>
              <a:r>
                <a:rPr lang="es-CL" sz="1100" b="1" baseline="0"/>
                <a:t>Esfuerzo (E): </a:t>
              </a:r>
              <a:r>
                <a:rPr lang="es-CL" sz="1100" b="0" baseline="0"/>
                <a:t>Representa el Costo o la dificultad de implementación.</a:t>
              </a:r>
            </a:p>
            <a:p>
              <a:endParaRPr lang="es-CL" sz="1100" b="0" baseline="0"/>
            </a:p>
            <a:p>
              <a:r>
                <a:rPr lang="es-CL" sz="1100" b="0" baseline="0"/>
                <a:t>El resultado es un puntaje que permite ordenar el PB de mayor a menor prioridad.</a:t>
              </a:r>
            </a:p>
          </xdr:txBody>
        </xdr:sp>
      </mc:Choice>
      <mc:Fallback xmlns="">
        <xdr:sp macro="" textlink="">
          <xdr:nvSpPr>
            <xdr:cNvPr id="4" name="CuadroTexto 3">
              <a:extLst>
                <a:ext uri="{FF2B5EF4-FFF2-40B4-BE49-F238E27FC236}">
                  <a16:creationId xmlns:a16="http://schemas.microsoft.com/office/drawing/2014/main" id="{AC477083-1521-C689-3F77-B7698486F5BD}"/>
                </a:ext>
              </a:extLst>
            </xdr:cNvPr>
            <xdr:cNvSpPr txBox="1"/>
          </xdr:nvSpPr>
          <xdr:spPr>
            <a:xfrm>
              <a:off x="14361308" y="1349874"/>
              <a:ext cx="4172555" cy="3218953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s-CL" sz="1100"/>
                <a:t>El objetivo</a:t>
              </a:r>
              <a:r>
                <a:rPr lang="es-CL" sz="1100" baseline="0"/>
                <a:t> principal de RICE es maximizar el valor entregable identificando las historias con la mayor eficiencia (mejor relación Valor/Costo).</a:t>
              </a:r>
            </a:p>
            <a:p>
              <a:endParaRPr lang="es-CL" sz="1100" baseline="0"/>
            </a:p>
            <a:p>
              <a:r>
                <a:rPr lang="es-CL" sz="1100" b="1" baseline="0"/>
                <a:t>Fundamentos de la Metodología ARROZ</a:t>
              </a:r>
            </a:p>
            <a:p>
              <a:endParaRPr lang="es-CL" sz="1100" b="1" baseline="0"/>
            </a:p>
            <a:p>
              <a:r>
                <a:rPr lang="es-CL" sz="1100" b="1" baseline="0"/>
                <a:t>RICE se basa en una fórmula que calcula el índice de prioridad de cada historia:</a:t>
              </a:r>
            </a:p>
            <a:p>
              <a:endParaRPr lang="es-CL" sz="1100" b="1" baseline="0"/>
            </a:p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s-CL" sz="1100" b="0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𝑃𝑢𝑛𝑡𝑎𝑗𝑒 𝐴𝑅𝑅𝑂𝑍=  (𝐴𝑙𝑐𝑎𝑛𝑐𝑒×𝐼𝑚𝑝𝑎𝑐𝑡𝑜 ×𝐶𝑜𝑛𝑓𝑖𝑎𝑛𝑧𝑎)/𝐸𝑠𝑓𝑢𝑒𝑟𝑧𝑜</a:t>
              </a:r>
              <a:endParaRPr lang="es-CL">
                <a:effectLst/>
              </a:endParaRPr>
            </a:p>
            <a:p>
              <a:endParaRPr lang="es-CL" sz="1100" b="1" baseline="0"/>
            </a:p>
            <a:p>
              <a:r>
                <a:rPr lang="es-CL" sz="1100" b="1" baseline="0"/>
                <a:t>- Alcance (R) e Impacto (I): </a:t>
              </a:r>
              <a:r>
                <a:rPr lang="es-CL" sz="1100" b="0" baseline="0"/>
                <a:t>Cuantifican el Valor Potencial para el negocio y el usuario.</a:t>
              </a:r>
            </a:p>
            <a:p>
              <a:r>
                <a:rPr lang="es-CL" sz="1100" b="1" baseline="0"/>
                <a:t>- Confianza (C): </a:t>
              </a:r>
              <a:r>
                <a:rPr lang="es-CL" sz="1100" b="0" baseline="0"/>
                <a:t>Ajusta el valor porencial según el riesgo de la estimación.</a:t>
              </a:r>
            </a:p>
            <a:p>
              <a:r>
                <a:rPr lang="es-CL" sz="1100" b="0" baseline="0"/>
                <a:t>- </a:t>
              </a:r>
              <a:r>
                <a:rPr lang="es-CL" sz="1100" b="1" baseline="0"/>
                <a:t>Esfuerzo (E): </a:t>
              </a:r>
              <a:r>
                <a:rPr lang="es-CL" sz="1100" b="0" baseline="0"/>
                <a:t>Representa el Costo o la dificultad de implementación.</a:t>
              </a:r>
            </a:p>
            <a:p>
              <a:endParaRPr lang="es-CL" sz="1100" b="0" baseline="0"/>
            </a:p>
            <a:p>
              <a:r>
                <a:rPr lang="es-CL" sz="1100" b="0" baseline="0"/>
                <a:t>El resultado es un puntaje que permite ordenar el PB de mayor a menor prioridad.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731520</xdr:colOff>
      <xdr:row>8</xdr:row>
      <xdr:rowOff>102870</xdr:rowOff>
    </xdr:from>
    <xdr:to>
      <xdr:col>10</xdr:col>
      <xdr:colOff>739140</xdr:colOff>
      <xdr:row>23</xdr:row>
      <xdr:rowOff>175260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78FF70C6-303B-024E-D9F8-E09BDF0E06B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130628</xdr:colOff>
      <xdr:row>8</xdr:row>
      <xdr:rowOff>101781</xdr:rowOff>
    </xdr:from>
    <xdr:to>
      <xdr:col>16</xdr:col>
      <xdr:colOff>742406</xdr:colOff>
      <xdr:row>23</xdr:row>
      <xdr:rowOff>101782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D9916EF7-9295-4E6B-66AB-902C7ACFADA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D4DA33B-E0AD-417F-A26B-FC95F25418E5}" name="T_Epicas" displayName="T_Epicas" ref="B4:C8" totalsRowShown="0" headerRowDxfId="57" dataDxfId="55" headerRowBorderDxfId="56" tableBorderDxfId="54" totalsRowBorderDxfId="53">
  <autoFilter ref="B4:C8" xr:uid="{ED4DA33B-E0AD-417F-A26B-FC95F25418E5}"/>
  <tableColumns count="2">
    <tableColumn id="1" xr3:uid="{4F680120-A18F-4FE5-924B-D7E69224E7BA}" name="ID_Epica" dataDxfId="52"/>
    <tableColumn id="2" xr3:uid="{9A6B1B2A-A71E-435D-8551-0F2EB8325438}" name="Nombre" dataDxfId="51"/>
  </tableColumns>
  <tableStyleInfo name="TableStyleLight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A3C9315-D99B-49F9-B936-33B7D4C127AB}" name="T_Historia" displayName="T_Historia" ref="B4:J81" totalsRowShown="0" headerRowDxfId="39" dataDxfId="38" headerRowBorderDxfId="36" tableBorderDxfId="37" totalsRowBorderDxfId="35">
  <autoFilter ref="B4:J81" xr:uid="{6A3C9315-D99B-49F9-B936-33B7D4C127AB}"/>
  <tableColumns count="9">
    <tableColumn id="1" xr3:uid="{DF57260B-11FC-4B41-B5A0-4D00073BA46E}" name="Épica" dataDxfId="34"/>
    <tableColumn id="2" xr3:uid="{FEEABF7E-9B04-476A-B02D-1C395CFFC54F}" name="ID_Historia" dataDxfId="33"/>
    <tableColumn id="3" xr3:uid="{67612251-9A8A-4AB0-9FD9-F0FF1C4F97C7}" name="Historia de Usuario" dataDxfId="32"/>
    <tableColumn id="4" xr3:uid="{85432717-FF7C-481D-ACC9-76FFE2993FCC}" name="Alcance(R)" dataDxfId="31"/>
    <tableColumn id="5" xr3:uid="{8D18EBDD-54DD-4BC0-B6F5-3B869D3B2904}" name="Impacto(I)" dataDxfId="30"/>
    <tableColumn id="6" xr3:uid="{081BA1A9-1482-4FEB-BD9B-92B8CB61BD14}" name="Confianza(C)" dataDxfId="29"/>
    <tableColumn id="7" xr3:uid="{04306DFE-61F4-42A2-9F79-984559D2E7EA}" name="Esfuerzo(E)" dataDxfId="28"/>
    <tableColumn id="8" xr3:uid="{E16DC532-D375-4593-8793-3E13F3E1AF48}" name="Puntaje Rice" dataDxfId="27"/>
    <tableColumn id="9" xr3:uid="{1ECB28D8-05A7-4D72-828C-D2C3DF1E47C0}" name="Prioridad" dataDxfId="26"/>
  </tableColumns>
  <tableStyleInfo name="TableStyleLight2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9DF30BD-E31A-4AB6-9DCB-F4025BD121A2}" name="T_Tarea" displayName="T_Tarea" ref="B4:H625" totalsRowShown="0" headerRowDxfId="50" headerRowBorderDxfId="49" tableBorderDxfId="48" totalsRowBorderDxfId="47">
  <autoFilter ref="B4:H625" xr:uid="{F9DF30BD-E31A-4AB6-9DCB-F4025BD121A2}"/>
  <tableColumns count="7">
    <tableColumn id="1" xr3:uid="{5D0B7A6F-BE5E-4F7D-AC52-2938EE04A53D}" name="Épica" dataDxfId="46">
      <calculatedColumnFormula>IFERROR(_xlfn.XLOOKUP(D5,'Historias de Usuario'!C:C,'Historias de Usuario'!B:B, "Selecciona una historia"), "")</calculatedColumnFormula>
    </tableColumn>
    <tableColumn id="2" xr3:uid="{41317658-966D-4E4E-A05F-72E47126B094}" name="Historia de Usuario" dataDxfId="45">
      <calculatedColumnFormula>IFERROR(_xlfn.XLOOKUP(D5,'Historias de Usuario'!C:C,'Historias de Usuario'!D:D, "Selecciona una historia"), "")</calculatedColumnFormula>
    </tableColumn>
    <tableColumn id="3" xr3:uid="{2370D04E-5D67-478D-AF20-1239A12E672A}" name="ID_Historia" dataDxfId="44"/>
    <tableColumn id="4" xr3:uid="{38FA92E7-993E-4605-8901-2C057C651E44}" name="ID_Tarea" dataDxfId="43"/>
    <tableColumn id="5" xr3:uid="{36A7AC97-2229-4099-9512-B354068F23C7}" name="Tarea" dataDxfId="42"/>
    <tableColumn id="9" xr3:uid="{46871BEB-9A0A-4281-8BA5-01E9A111F7C3}" name="Sprint" dataDxfId="41"/>
    <tableColumn id="6" xr3:uid="{4E47E54A-1CA5-4B15-974B-14C0EA128024}" name="Estado" dataDxfId="40"/>
  </tableColumns>
  <tableStyleInfo name="TableStyleLight1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BC9A8D-392A-47EC-BA6D-02E19B2F54FB}">
  <sheetPr>
    <tabColor rgb="FF6600FF"/>
  </sheetPr>
  <dimension ref="B3:C8"/>
  <sheetViews>
    <sheetView workbookViewId="0">
      <selection activeCell="E12" sqref="E12"/>
    </sheetView>
  </sheetViews>
  <sheetFormatPr baseColWidth="10" defaultRowHeight="14.4" x14ac:dyDescent="0.3"/>
  <cols>
    <col min="2" max="2" width="13.109375" customWidth="1"/>
    <col min="3" max="3" width="34" customWidth="1"/>
    <col min="4" max="4" width="35.44140625" customWidth="1"/>
  </cols>
  <sheetData>
    <row r="3" spans="2:3" x14ac:dyDescent="0.3">
      <c r="B3" s="3" t="s">
        <v>1</v>
      </c>
    </row>
    <row r="4" spans="2:3" x14ac:dyDescent="0.3">
      <c r="B4" s="11" t="s">
        <v>12</v>
      </c>
      <c r="C4" s="12" t="s">
        <v>4</v>
      </c>
    </row>
    <row r="5" spans="2:3" x14ac:dyDescent="0.3">
      <c r="B5" s="16" t="s">
        <v>7</v>
      </c>
      <c r="C5" s="17" t="s">
        <v>52</v>
      </c>
    </row>
    <row r="6" spans="2:3" x14ac:dyDescent="0.3">
      <c r="B6" s="16" t="s">
        <v>8</v>
      </c>
      <c r="C6" s="17" t="s">
        <v>87</v>
      </c>
    </row>
    <row r="7" spans="2:3" x14ac:dyDescent="0.3">
      <c r="B7" s="16" t="s">
        <v>9</v>
      </c>
      <c r="C7" s="17" t="s">
        <v>511</v>
      </c>
    </row>
    <row r="8" spans="2:3" x14ac:dyDescent="0.3">
      <c r="B8" s="16" t="s">
        <v>10</v>
      </c>
      <c r="C8" s="17" t="s">
        <v>914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60926C-EBC0-4367-A858-936539A30B63}">
  <sheetPr>
    <tabColor rgb="FF00B050"/>
  </sheetPr>
  <dimension ref="B3:J92"/>
  <sheetViews>
    <sheetView topLeftCell="A70" zoomScale="109" zoomScaleNormal="109" workbookViewId="0">
      <selection activeCell="D81" sqref="D81"/>
    </sheetView>
  </sheetViews>
  <sheetFormatPr baseColWidth="10" defaultRowHeight="14.4" x14ac:dyDescent="0.3"/>
  <cols>
    <col min="2" max="2" width="32.5546875" customWidth="1"/>
    <col min="3" max="3" width="18.109375" customWidth="1"/>
    <col min="4" max="4" width="64.33203125" customWidth="1"/>
    <col min="5" max="5" width="12.21875" bestFit="1" customWidth="1"/>
    <col min="6" max="6" width="12.109375" bestFit="1" customWidth="1"/>
    <col min="7" max="7" width="14" bestFit="1" customWidth="1"/>
    <col min="8" max="8" width="12.6640625" bestFit="1" customWidth="1"/>
    <col min="9" max="9" width="13.6640625" bestFit="1" customWidth="1"/>
    <col min="10" max="10" width="10.88671875" bestFit="1" customWidth="1"/>
  </cols>
  <sheetData>
    <row r="3" spans="2:10" x14ac:dyDescent="0.3">
      <c r="B3" s="4" t="s">
        <v>26</v>
      </c>
      <c r="C3" s="1"/>
    </row>
    <row r="4" spans="2:10" x14ac:dyDescent="0.3">
      <c r="B4" s="40" t="s">
        <v>27</v>
      </c>
      <c r="C4" s="41" t="s">
        <v>11</v>
      </c>
      <c r="D4" s="41" t="s">
        <v>2</v>
      </c>
      <c r="E4" s="41" t="s">
        <v>1233</v>
      </c>
      <c r="F4" s="41" t="s">
        <v>1234</v>
      </c>
      <c r="G4" s="42" t="s">
        <v>1235</v>
      </c>
      <c r="H4" s="41" t="s">
        <v>1240</v>
      </c>
      <c r="I4" s="41" t="s">
        <v>1241</v>
      </c>
      <c r="J4" s="41" t="s">
        <v>5</v>
      </c>
    </row>
    <row r="5" spans="2:10" ht="28.8" x14ac:dyDescent="0.3">
      <c r="B5" s="43" t="s">
        <v>52</v>
      </c>
      <c r="C5" s="9" t="s">
        <v>3</v>
      </c>
      <c r="D5" s="10" t="s">
        <v>53</v>
      </c>
      <c r="E5" s="9">
        <v>10</v>
      </c>
      <c r="F5" s="9">
        <v>3</v>
      </c>
      <c r="G5" s="8" t="s">
        <v>1236</v>
      </c>
      <c r="H5" s="44">
        <v>5</v>
      </c>
      <c r="I5" s="44" t="s">
        <v>1242</v>
      </c>
      <c r="J5" s="44" t="s">
        <v>19</v>
      </c>
    </row>
    <row r="6" spans="2:10" ht="28.8" x14ac:dyDescent="0.3">
      <c r="B6" s="43" t="s">
        <v>87</v>
      </c>
      <c r="C6" s="9" t="s">
        <v>88</v>
      </c>
      <c r="D6" s="32" t="s">
        <v>89</v>
      </c>
      <c r="E6" s="9">
        <v>5</v>
      </c>
      <c r="F6" s="9">
        <v>1</v>
      </c>
      <c r="G6" s="19" t="s">
        <v>1236</v>
      </c>
      <c r="H6" s="9">
        <v>2</v>
      </c>
      <c r="I6" s="9" t="s">
        <v>1243</v>
      </c>
      <c r="J6" s="9" t="s">
        <v>20</v>
      </c>
    </row>
    <row r="7" spans="2:10" ht="28.8" x14ac:dyDescent="0.3">
      <c r="B7" s="43" t="s">
        <v>87</v>
      </c>
      <c r="C7" s="9" t="s">
        <v>123</v>
      </c>
      <c r="D7" s="32" t="s">
        <v>146</v>
      </c>
      <c r="E7" s="9">
        <v>3</v>
      </c>
      <c r="F7" s="9">
        <v>2</v>
      </c>
      <c r="G7" s="19" t="s">
        <v>1236</v>
      </c>
      <c r="H7" s="9">
        <v>5</v>
      </c>
      <c r="I7" s="9" t="s">
        <v>1244</v>
      </c>
      <c r="J7" s="9" t="s">
        <v>20</v>
      </c>
    </row>
    <row r="8" spans="2:10" ht="28.8" x14ac:dyDescent="0.3">
      <c r="B8" s="43" t="s">
        <v>87</v>
      </c>
      <c r="C8" s="9" t="s">
        <v>142</v>
      </c>
      <c r="D8" s="32" t="s">
        <v>124</v>
      </c>
      <c r="E8" s="9">
        <v>5</v>
      </c>
      <c r="F8" s="9">
        <v>1</v>
      </c>
      <c r="G8" s="19" t="s">
        <v>1236</v>
      </c>
      <c r="H8" s="9">
        <v>5</v>
      </c>
      <c r="I8" s="9" t="s">
        <v>1236</v>
      </c>
      <c r="J8" s="9" t="s">
        <v>20</v>
      </c>
    </row>
    <row r="9" spans="2:10" ht="28.8" x14ac:dyDescent="0.3">
      <c r="B9" s="43" t="s">
        <v>87</v>
      </c>
      <c r="C9" s="9" t="s">
        <v>143</v>
      </c>
      <c r="D9" s="32" t="s">
        <v>166</v>
      </c>
      <c r="E9" s="9">
        <v>5</v>
      </c>
      <c r="F9" s="9">
        <v>2</v>
      </c>
      <c r="G9" s="19" t="s">
        <v>1237</v>
      </c>
      <c r="H9" s="9">
        <v>10</v>
      </c>
      <c r="I9" s="9" t="s">
        <v>1237</v>
      </c>
      <c r="J9" s="9" t="s">
        <v>21</v>
      </c>
    </row>
    <row r="10" spans="2:10" ht="28.8" x14ac:dyDescent="0.3">
      <c r="B10" s="43" t="s">
        <v>87</v>
      </c>
      <c r="C10" s="9" t="s">
        <v>144</v>
      </c>
      <c r="D10" s="32" t="s">
        <v>178</v>
      </c>
      <c r="E10" s="9">
        <v>3</v>
      </c>
      <c r="F10" s="9">
        <v>2</v>
      </c>
      <c r="G10" s="19" t="s">
        <v>1236</v>
      </c>
      <c r="H10" s="9">
        <v>2</v>
      </c>
      <c r="I10" s="9" t="s">
        <v>1245</v>
      </c>
      <c r="J10" s="9" t="s">
        <v>19</v>
      </c>
    </row>
    <row r="11" spans="2:10" ht="28.8" x14ac:dyDescent="0.3">
      <c r="B11" s="43" t="s">
        <v>87</v>
      </c>
      <c r="C11" s="9" t="s">
        <v>145</v>
      </c>
      <c r="D11" s="32" t="s">
        <v>186</v>
      </c>
      <c r="E11" s="9">
        <v>5</v>
      </c>
      <c r="F11" s="9">
        <v>2</v>
      </c>
      <c r="G11" s="19" t="s">
        <v>1236</v>
      </c>
      <c r="H11" s="9">
        <v>5</v>
      </c>
      <c r="I11" s="9" t="s">
        <v>1246</v>
      </c>
      <c r="J11" s="9" t="s">
        <v>20</v>
      </c>
    </row>
    <row r="12" spans="2:10" ht="28.8" x14ac:dyDescent="0.3">
      <c r="B12" s="43" t="s">
        <v>87</v>
      </c>
      <c r="C12" s="9" t="s">
        <v>200</v>
      </c>
      <c r="D12" s="32" t="s">
        <v>201</v>
      </c>
      <c r="E12" s="9">
        <v>4</v>
      </c>
      <c r="F12" s="9">
        <v>2</v>
      </c>
      <c r="G12" s="19" t="s">
        <v>1236</v>
      </c>
      <c r="H12" s="9">
        <v>3</v>
      </c>
      <c r="I12" s="9">
        <v>2.6</v>
      </c>
      <c r="J12" s="9" t="s">
        <v>19</v>
      </c>
    </row>
    <row r="13" spans="2:10" ht="28.8" x14ac:dyDescent="0.3">
      <c r="B13" s="43" t="s">
        <v>87</v>
      </c>
      <c r="C13" s="9" t="s">
        <v>210</v>
      </c>
      <c r="D13" s="32" t="s">
        <v>209</v>
      </c>
      <c r="E13" s="9">
        <v>5</v>
      </c>
      <c r="F13" s="9">
        <v>2</v>
      </c>
      <c r="G13" s="19" t="s">
        <v>1237</v>
      </c>
      <c r="H13" s="9">
        <v>3</v>
      </c>
      <c r="I13" s="9" t="s">
        <v>1247</v>
      </c>
      <c r="J13" s="9" t="s">
        <v>20</v>
      </c>
    </row>
    <row r="14" spans="2:10" ht="28.8" x14ac:dyDescent="0.3">
      <c r="B14" s="43" t="s">
        <v>87</v>
      </c>
      <c r="C14" s="9" t="s">
        <v>220</v>
      </c>
      <c r="D14" s="32" t="s">
        <v>221</v>
      </c>
      <c r="E14" s="9">
        <v>5</v>
      </c>
      <c r="F14" s="9">
        <v>2</v>
      </c>
      <c r="G14" s="19" t="s">
        <v>1237</v>
      </c>
      <c r="H14" s="9">
        <v>3</v>
      </c>
      <c r="I14" s="9" t="s">
        <v>1247</v>
      </c>
      <c r="J14" s="9" t="s">
        <v>19</v>
      </c>
    </row>
    <row r="15" spans="2:10" ht="28.8" x14ac:dyDescent="0.3">
      <c r="B15" s="43" t="s">
        <v>87</v>
      </c>
      <c r="C15" s="9" t="s">
        <v>228</v>
      </c>
      <c r="D15" s="32" t="s">
        <v>227</v>
      </c>
      <c r="E15" s="9">
        <v>5</v>
      </c>
      <c r="F15" s="9">
        <v>2</v>
      </c>
      <c r="G15" s="19" t="s">
        <v>1237</v>
      </c>
      <c r="H15" s="9">
        <v>5</v>
      </c>
      <c r="I15" s="9" t="s">
        <v>1248</v>
      </c>
      <c r="J15" s="9" t="s">
        <v>20</v>
      </c>
    </row>
    <row r="16" spans="2:10" ht="28.8" x14ac:dyDescent="0.3">
      <c r="B16" s="43" t="s">
        <v>87</v>
      </c>
      <c r="C16" s="9" t="s">
        <v>246</v>
      </c>
      <c r="D16" s="32" t="s">
        <v>245</v>
      </c>
      <c r="E16" s="9">
        <v>5</v>
      </c>
      <c r="F16" s="9">
        <v>2</v>
      </c>
      <c r="G16" s="19" t="s">
        <v>1236</v>
      </c>
      <c r="H16" s="9">
        <v>3</v>
      </c>
      <c r="I16" s="9" t="s">
        <v>1249</v>
      </c>
      <c r="J16" s="9" t="s">
        <v>19</v>
      </c>
    </row>
    <row r="17" spans="2:10" ht="28.8" x14ac:dyDescent="0.3">
      <c r="B17" s="43" t="s">
        <v>87</v>
      </c>
      <c r="C17" s="9" t="s">
        <v>255</v>
      </c>
      <c r="D17" s="32" t="s">
        <v>254</v>
      </c>
      <c r="E17" s="9">
        <v>3</v>
      </c>
      <c r="F17" s="9">
        <v>2</v>
      </c>
      <c r="G17" s="19" t="s">
        <v>1236</v>
      </c>
      <c r="H17" s="9">
        <v>3</v>
      </c>
      <c r="I17" s="9" t="s">
        <v>1246</v>
      </c>
      <c r="J17" s="9" t="s">
        <v>20</v>
      </c>
    </row>
    <row r="18" spans="2:10" ht="28.8" x14ac:dyDescent="0.3">
      <c r="B18" s="43" t="s">
        <v>87</v>
      </c>
      <c r="C18" s="9" t="s">
        <v>263</v>
      </c>
      <c r="D18" s="32" t="s">
        <v>264</v>
      </c>
      <c r="E18" s="9">
        <v>5</v>
      </c>
      <c r="F18" s="9">
        <v>2</v>
      </c>
      <c r="G18" s="19" t="s">
        <v>1237</v>
      </c>
      <c r="H18" s="9">
        <v>3</v>
      </c>
      <c r="I18" s="9" t="s">
        <v>1247</v>
      </c>
      <c r="J18" s="9" t="s">
        <v>20</v>
      </c>
    </row>
    <row r="19" spans="2:10" ht="28.8" x14ac:dyDescent="0.3">
      <c r="B19" s="43" t="s">
        <v>87</v>
      </c>
      <c r="C19" s="9" t="s">
        <v>270</v>
      </c>
      <c r="D19" s="32" t="s">
        <v>271</v>
      </c>
      <c r="E19" s="9">
        <v>5</v>
      </c>
      <c r="F19" s="9">
        <v>2</v>
      </c>
      <c r="G19" s="19" t="s">
        <v>1237</v>
      </c>
      <c r="H19" s="9">
        <v>2</v>
      </c>
      <c r="I19" s="9" t="s">
        <v>1250</v>
      </c>
      <c r="J19" s="9" t="s">
        <v>19</v>
      </c>
    </row>
    <row r="20" spans="2:10" ht="28.8" x14ac:dyDescent="0.3">
      <c r="B20" s="43" t="s">
        <v>87</v>
      </c>
      <c r="C20" s="9" t="s">
        <v>285</v>
      </c>
      <c r="D20" s="32" t="s">
        <v>286</v>
      </c>
      <c r="E20" s="9">
        <v>5</v>
      </c>
      <c r="F20" s="9">
        <v>2</v>
      </c>
      <c r="G20" s="19" t="s">
        <v>1236</v>
      </c>
      <c r="H20" s="9">
        <v>5</v>
      </c>
      <c r="I20" s="9" t="s">
        <v>1246</v>
      </c>
      <c r="J20" s="9" t="s">
        <v>20</v>
      </c>
    </row>
    <row r="21" spans="2:10" ht="28.8" x14ac:dyDescent="0.3">
      <c r="B21" s="43" t="s">
        <v>87</v>
      </c>
      <c r="C21" s="9" t="s">
        <v>296</v>
      </c>
      <c r="D21" s="32" t="s">
        <v>295</v>
      </c>
      <c r="E21" s="9">
        <v>5</v>
      </c>
      <c r="F21" s="9">
        <v>2</v>
      </c>
      <c r="G21" s="19" t="s">
        <v>1236</v>
      </c>
      <c r="H21" s="9">
        <v>3</v>
      </c>
      <c r="I21" s="9" t="s">
        <v>1251</v>
      </c>
      <c r="J21" s="9" t="s">
        <v>19</v>
      </c>
    </row>
    <row r="22" spans="2:10" ht="28.8" x14ac:dyDescent="0.3">
      <c r="B22" s="43" t="s">
        <v>87</v>
      </c>
      <c r="C22" s="9" t="s">
        <v>303</v>
      </c>
      <c r="D22" s="32" t="s">
        <v>302</v>
      </c>
      <c r="E22" s="9">
        <v>5</v>
      </c>
      <c r="F22" s="9">
        <v>2</v>
      </c>
      <c r="G22" s="19" t="s">
        <v>1237</v>
      </c>
      <c r="H22" s="9">
        <v>2</v>
      </c>
      <c r="I22" s="9" t="s">
        <v>1250</v>
      </c>
      <c r="J22" s="9" t="s">
        <v>19</v>
      </c>
    </row>
    <row r="23" spans="2:10" ht="28.8" x14ac:dyDescent="0.3">
      <c r="B23" s="43" t="s">
        <v>87</v>
      </c>
      <c r="C23" s="9" t="s">
        <v>307</v>
      </c>
      <c r="D23" s="32" t="s">
        <v>320</v>
      </c>
      <c r="E23" s="9">
        <v>2</v>
      </c>
      <c r="F23" s="9">
        <v>2</v>
      </c>
      <c r="G23" s="19" t="s">
        <v>1237</v>
      </c>
      <c r="H23" s="9">
        <v>2</v>
      </c>
      <c r="I23" s="9">
        <v>1.6</v>
      </c>
      <c r="J23" s="9" t="s">
        <v>20</v>
      </c>
    </row>
    <row r="24" spans="2:10" ht="28.8" x14ac:dyDescent="0.3">
      <c r="B24" s="43" t="s">
        <v>87</v>
      </c>
      <c r="C24" s="9" t="s">
        <v>321</v>
      </c>
      <c r="D24" s="32" t="s">
        <v>306</v>
      </c>
      <c r="E24" s="9">
        <v>1</v>
      </c>
      <c r="F24" s="9">
        <v>3</v>
      </c>
      <c r="G24" s="19" t="s">
        <v>1238</v>
      </c>
      <c r="H24" s="9">
        <v>8</v>
      </c>
      <c r="I24" s="9" t="s">
        <v>1252</v>
      </c>
      <c r="J24" s="9" t="s">
        <v>21</v>
      </c>
    </row>
    <row r="25" spans="2:10" ht="28.8" x14ac:dyDescent="0.3">
      <c r="B25" s="43" t="s">
        <v>87</v>
      </c>
      <c r="C25" s="9" t="s">
        <v>330</v>
      </c>
      <c r="D25" s="32" t="s">
        <v>331</v>
      </c>
      <c r="E25" s="9">
        <v>2</v>
      </c>
      <c r="F25" s="9">
        <v>2</v>
      </c>
      <c r="G25" s="19" t="s">
        <v>1236</v>
      </c>
      <c r="H25" s="9">
        <v>3</v>
      </c>
      <c r="I25" s="9">
        <v>1.3</v>
      </c>
      <c r="J25" s="9" t="s">
        <v>20</v>
      </c>
    </row>
    <row r="26" spans="2:10" ht="28.8" x14ac:dyDescent="0.3">
      <c r="B26" s="43" t="s">
        <v>87</v>
      </c>
      <c r="C26" s="9" t="s">
        <v>339</v>
      </c>
      <c r="D26" s="32" t="s">
        <v>338</v>
      </c>
      <c r="E26" s="9">
        <v>3</v>
      </c>
      <c r="F26" s="9">
        <v>2</v>
      </c>
      <c r="G26" s="19" t="s">
        <v>1236</v>
      </c>
      <c r="H26" s="9">
        <v>1</v>
      </c>
      <c r="I26" s="9" t="s">
        <v>1242</v>
      </c>
      <c r="J26" s="9" t="s">
        <v>19</v>
      </c>
    </row>
    <row r="27" spans="2:10" ht="28.8" x14ac:dyDescent="0.3">
      <c r="B27" s="43" t="s">
        <v>87</v>
      </c>
      <c r="C27" s="9" t="s">
        <v>345</v>
      </c>
      <c r="D27" s="32" t="s">
        <v>359</v>
      </c>
      <c r="E27" s="9">
        <v>5</v>
      </c>
      <c r="F27" s="9">
        <v>3</v>
      </c>
      <c r="G27" s="19" t="s">
        <v>1236</v>
      </c>
      <c r="H27" s="9">
        <v>5</v>
      </c>
      <c r="I27" s="9" t="s">
        <v>1245</v>
      </c>
      <c r="J27" s="9" t="s">
        <v>19</v>
      </c>
    </row>
    <row r="28" spans="2:10" ht="28.8" x14ac:dyDescent="0.3">
      <c r="B28" s="43" t="s">
        <v>87</v>
      </c>
      <c r="C28" s="9" t="s">
        <v>358</v>
      </c>
      <c r="D28" s="32" t="s">
        <v>344</v>
      </c>
      <c r="E28" s="9">
        <v>5</v>
      </c>
      <c r="F28" s="9">
        <v>3</v>
      </c>
      <c r="G28" s="19" t="s">
        <v>1236</v>
      </c>
      <c r="H28" s="9">
        <v>5</v>
      </c>
      <c r="I28" s="9" t="s">
        <v>1245</v>
      </c>
      <c r="J28" s="9" t="s">
        <v>19</v>
      </c>
    </row>
    <row r="29" spans="2:10" ht="28.8" x14ac:dyDescent="0.3">
      <c r="B29" s="43" t="s">
        <v>87</v>
      </c>
      <c r="C29" s="9" t="s">
        <v>394</v>
      </c>
      <c r="D29" s="32" t="s">
        <v>393</v>
      </c>
      <c r="E29" s="9">
        <v>5</v>
      </c>
      <c r="F29" s="9">
        <v>3</v>
      </c>
      <c r="G29" s="19" t="s">
        <v>1237</v>
      </c>
      <c r="H29" s="9">
        <v>5</v>
      </c>
      <c r="I29" s="9" t="s">
        <v>1253</v>
      </c>
      <c r="J29" s="9" t="s">
        <v>20</v>
      </c>
    </row>
    <row r="30" spans="2:10" ht="28.8" x14ac:dyDescent="0.3">
      <c r="B30" s="43" t="s">
        <v>87</v>
      </c>
      <c r="C30" s="9" t="s">
        <v>406</v>
      </c>
      <c r="D30" s="32" t="s">
        <v>405</v>
      </c>
      <c r="E30" s="9">
        <v>1</v>
      </c>
      <c r="F30" s="9">
        <v>3</v>
      </c>
      <c r="G30" s="19" t="s">
        <v>1236</v>
      </c>
      <c r="H30" s="9">
        <v>6</v>
      </c>
      <c r="I30" s="9" t="s">
        <v>1238</v>
      </c>
      <c r="J30" s="9" t="s">
        <v>21</v>
      </c>
    </row>
    <row r="31" spans="2:10" ht="28.8" x14ac:dyDescent="0.3">
      <c r="B31" s="43" t="s">
        <v>87</v>
      </c>
      <c r="C31" s="9" t="s">
        <v>415</v>
      </c>
      <c r="D31" s="32" t="s">
        <v>414</v>
      </c>
      <c r="E31" s="9">
        <v>2</v>
      </c>
      <c r="F31" s="9">
        <v>3</v>
      </c>
      <c r="G31" s="19" t="s">
        <v>1236</v>
      </c>
      <c r="H31" s="9">
        <v>3</v>
      </c>
      <c r="I31" s="9" t="s">
        <v>1246</v>
      </c>
      <c r="J31" s="9" t="s">
        <v>20</v>
      </c>
    </row>
    <row r="32" spans="2:10" ht="43.2" x14ac:dyDescent="0.3">
      <c r="B32" s="43" t="s">
        <v>87</v>
      </c>
      <c r="C32" s="9" t="s">
        <v>425</v>
      </c>
      <c r="D32" s="32" t="s">
        <v>424</v>
      </c>
      <c r="E32" s="9">
        <v>7</v>
      </c>
      <c r="F32" s="9">
        <v>3</v>
      </c>
      <c r="G32" s="19" t="s">
        <v>1238</v>
      </c>
      <c r="H32" s="9">
        <v>4</v>
      </c>
      <c r="I32" s="9" t="s">
        <v>1254</v>
      </c>
      <c r="J32" s="9" t="s">
        <v>20</v>
      </c>
    </row>
    <row r="33" spans="2:10" ht="28.8" x14ac:dyDescent="0.3">
      <c r="B33" s="43" t="s">
        <v>87</v>
      </c>
      <c r="C33" s="9" t="s">
        <v>441</v>
      </c>
      <c r="D33" s="32" t="s">
        <v>465</v>
      </c>
      <c r="E33" s="9">
        <v>3</v>
      </c>
      <c r="F33" s="9">
        <v>3</v>
      </c>
      <c r="G33" s="19" t="s">
        <v>1236</v>
      </c>
      <c r="H33" s="9">
        <v>5</v>
      </c>
      <c r="I33" s="9">
        <v>1.8</v>
      </c>
      <c r="J33" s="9" t="s">
        <v>20</v>
      </c>
    </row>
    <row r="34" spans="2:10" ht="28.8" x14ac:dyDescent="0.3">
      <c r="B34" s="43" t="s">
        <v>87</v>
      </c>
      <c r="C34" s="9" t="s">
        <v>445</v>
      </c>
      <c r="D34" s="32" t="s">
        <v>444</v>
      </c>
      <c r="E34" s="9">
        <v>1</v>
      </c>
      <c r="F34" s="9">
        <v>5</v>
      </c>
      <c r="G34" s="19" t="s">
        <v>1237</v>
      </c>
      <c r="H34" s="9">
        <v>5</v>
      </c>
      <c r="I34" s="9" t="s">
        <v>1237</v>
      </c>
      <c r="J34" s="9" t="s">
        <v>21</v>
      </c>
    </row>
    <row r="35" spans="2:10" ht="28.8" x14ac:dyDescent="0.3">
      <c r="B35" s="43" t="s">
        <v>87</v>
      </c>
      <c r="C35" s="9" t="s">
        <v>458</v>
      </c>
      <c r="D35" s="32" t="s">
        <v>457</v>
      </c>
      <c r="E35" s="9">
        <v>3</v>
      </c>
      <c r="F35" s="9">
        <v>2</v>
      </c>
      <c r="G35" s="19" t="s">
        <v>1236</v>
      </c>
      <c r="H35" s="9">
        <v>3</v>
      </c>
      <c r="I35" s="9" t="s">
        <v>1246</v>
      </c>
      <c r="J35" s="9" t="s">
        <v>20</v>
      </c>
    </row>
    <row r="36" spans="2:10" ht="28.8" x14ac:dyDescent="0.3">
      <c r="B36" s="43" t="s">
        <v>87</v>
      </c>
      <c r="C36" s="9" t="s">
        <v>464</v>
      </c>
      <c r="D36" s="32" t="s">
        <v>463</v>
      </c>
      <c r="E36" s="9">
        <v>6</v>
      </c>
      <c r="F36" s="9">
        <v>3</v>
      </c>
      <c r="G36" s="19" t="s">
        <v>1236</v>
      </c>
      <c r="H36" s="9">
        <v>8</v>
      </c>
      <c r="I36" s="9" t="s">
        <v>1255</v>
      </c>
      <c r="J36" s="9" t="s">
        <v>20</v>
      </c>
    </row>
    <row r="37" spans="2:10" ht="28.8" x14ac:dyDescent="0.3">
      <c r="B37" s="43" t="s">
        <v>87</v>
      </c>
      <c r="C37" s="9" t="s">
        <v>483</v>
      </c>
      <c r="D37" s="32" t="s">
        <v>482</v>
      </c>
      <c r="E37" s="9">
        <v>8</v>
      </c>
      <c r="F37" s="9">
        <v>3</v>
      </c>
      <c r="G37" s="19" t="s">
        <v>1236</v>
      </c>
      <c r="H37" s="9">
        <v>5</v>
      </c>
      <c r="I37" s="9" t="s">
        <v>1256</v>
      </c>
      <c r="J37" s="9" t="s">
        <v>19</v>
      </c>
    </row>
    <row r="38" spans="2:10" ht="28.8" x14ac:dyDescent="0.3">
      <c r="B38" s="43" t="s">
        <v>87</v>
      </c>
      <c r="C38" s="9" t="s">
        <v>495</v>
      </c>
      <c r="D38" s="32" t="s">
        <v>494</v>
      </c>
      <c r="E38" s="9">
        <v>8</v>
      </c>
      <c r="F38" s="9">
        <v>2</v>
      </c>
      <c r="G38" s="19" t="s">
        <v>1236</v>
      </c>
      <c r="H38" s="9">
        <v>3</v>
      </c>
      <c r="I38" s="9" t="s">
        <v>1257</v>
      </c>
      <c r="J38" s="9" t="s">
        <v>19</v>
      </c>
    </row>
    <row r="39" spans="2:10" ht="28.8" x14ac:dyDescent="0.3">
      <c r="B39" s="43" t="s">
        <v>87</v>
      </c>
      <c r="C39" s="9" t="s">
        <v>1195</v>
      </c>
      <c r="D39" s="32" t="s">
        <v>1196</v>
      </c>
      <c r="E39" s="9">
        <v>10</v>
      </c>
      <c r="F39" s="9">
        <v>2</v>
      </c>
      <c r="G39" s="19" t="s">
        <v>1236</v>
      </c>
      <c r="H39" s="9">
        <v>8</v>
      </c>
      <c r="I39" s="9" t="s">
        <v>1243</v>
      </c>
      <c r="J39" s="9" t="s">
        <v>20</v>
      </c>
    </row>
    <row r="40" spans="2:10" ht="28.8" x14ac:dyDescent="0.3">
      <c r="B40" s="43" t="s">
        <v>511</v>
      </c>
      <c r="C40" s="9" t="s">
        <v>543</v>
      </c>
      <c r="D40" s="32" t="s">
        <v>512</v>
      </c>
      <c r="E40" s="9">
        <v>6</v>
      </c>
      <c r="F40" s="9">
        <v>2</v>
      </c>
      <c r="G40" s="19" t="s">
        <v>1237</v>
      </c>
      <c r="H40" s="9">
        <v>10</v>
      </c>
      <c r="I40" s="9" t="s">
        <v>1258</v>
      </c>
      <c r="J40" s="9" t="s">
        <v>20</v>
      </c>
    </row>
    <row r="41" spans="2:10" ht="28.8" x14ac:dyDescent="0.3">
      <c r="B41" s="43" t="s">
        <v>511</v>
      </c>
      <c r="C41" s="9" t="s">
        <v>546</v>
      </c>
      <c r="D41" s="32" t="s">
        <v>545</v>
      </c>
      <c r="E41" s="9">
        <v>10</v>
      </c>
      <c r="F41" s="9">
        <v>3</v>
      </c>
      <c r="G41" s="19" t="s">
        <v>1236</v>
      </c>
      <c r="H41" s="9">
        <v>5</v>
      </c>
      <c r="I41" s="9" t="s">
        <v>1242</v>
      </c>
      <c r="J41" s="9" t="s">
        <v>19</v>
      </c>
    </row>
    <row r="42" spans="2:10" ht="28.8" x14ac:dyDescent="0.3">
      <c r="B42" s="43" t="s">
        <v>511</v>
      </c>
      <c r="C42" s="9" t="s">
        <v>547</v>
      </c>
      <c r="D42" s="32" t="s">
        <v>544</v>
      </c>
      <c r="E42" s="9">
        <v>8</v>
      </c>
      <c r="F42" s="9">
        <v>2</v>
      </c>
      <c r="G42" s="19" t="s">
        <v>1236</v>
      </c>
      <c r="H42" s="9">
        <v>3</v>
      </c>
      <c r="I42" s="9" t="s">
        <v>1257</v>
      </c>
      <c r="J42" s="9" t="s">
        <v>19</v>
      </c>
    </row>
    <row r="43" spans="2:10" ht="28.8" x14ac:dyDescent="0.3">
      <c r="B43" s="43" t="s">
        <v>511</v>
      </c>
      <c r="C43" s="9" t="s">
        <v>617</v>
      </c>
      <c r="D43" s="32" t="s">
        <v>616</v>
      </c>
      <c r="E43" s="9">
        <v>8</v>
      </c>
      <c r="F43" s="9">
        <v>3</v>
      </c>
      <c r="G43" s="19" t="s">
        <v>1239</v>
      </c>
      <c r="H43" s="9">
        <v>10</v>
      </c>
      <c r="I43" s="9" t="s">
        <v>1256</v>
      </c>
      <c r="J43" s="9" t="s">
        <v>19</v>
      </c>
    </row>
    <row r="44" spans="2:10" ht="28.8" x14ac:dyDescent="0.3">
      <c r="B44" s="43" t="s">
        <v>511</v>
      </c>
      <c r="C44" s="9" t="s">
        <v>660</v>
      </c>
      <c r="D44" s="32" t="s">
        <v>659</v>
      </c>
      <c r="E44" s="9">
        <v>8</v>
      </c>
      <c r="F44" s="9">
        <v>2</v>
      </c>
      <c r="G44" s="19" t="s">
        <v>1236</v>
      </c>
      <c r="H44" s="9">
        <v>8</v>
      </c>
      <c r="I44" s="9" t="s">
        <v>1246</v>
      </c>
      <c r="J44" s="9" t="s">
        <v>20</v>
      </c>
    </row>
    <row r="45" spans="2:10" ht="28.8" x14ac:dyDescent="0.3">
      <c r="B45" s="43" t="s">
        <v>511</v>
      </c>
      <c r="C45" s="9" t="s">
        <v>679</v>
      </c>
      <c r="D45" s="32" t="s">
        <v>678</v>
      </c>
      <c r="E45" s="9">
        <v>8</v>
      </c>
      <c r="F45" s="9">
        <v>3</v>
      </c>
      <c r="G45" s="19" t="s">
        <v>1236</v>
      </c>
      <c r="H45" s="9">
        <v>5</v>
      </c>
      <c r="I45" s="9" t="s">
        <v>1256</v>
      </c>
      <c r="J45" s="9" t="s">
        <v>19</v>
      </c>
    </row>
    <row r="46" spans="2:10" ht="28.8" x14ac:dyDescent="0.3">
      <c r="B46" s="43" t="s">
        <v>511</v>
      </c>
      <c r="C46" s="9" t="s">
        <v>698</v>
      </c>
      <c r="D46" s="32" t="s">
        <v>697</v>
      </c>
      <c r="E46" s="9">
        <v>5</v>
      </c>
      <c r="F46" s="9">
        <v>2</v>
      </c>
      <c r="G46" s="19" t="s">
        <v>1236</v>
      </c>
      <c r="H46" s="9">
        <v>4</v>
      </c>
      <c r="I46" s="9">
        <v>2.5</v>
      </c>
      <c r="J46" s="9" t="s">
        <v>20</v>
      </c>
    </row>
    <row r="47" spans="2:10" ht="28.8" x14ac:dyDescent="0.3">
      <c r="B47" s="43" t="s">
        <v>511</v>
      </c>
      <c r="C47" s="9" t="s">
        <v>707</v>
      </c>
      <c r="D47" s="32" t="s">
        <v>706</v>
      </c>
      <c r="E47" s="9">
        <v>8</v>
      </c>
      <c r="F47" s="9">
        <v>3</v>
      </c>
      <c r="G47" s="19" t="s">
        <v>1236</v>
      </c>
      <c r="H47" s="9">
        <v>3</v>
      </c>
      <c r="I47" s="9" t="s">
        <v>1259</v>
      </c>
      <c r="J47" s="9" t="s">
        <v>19</v>
      </c>
    </row>
    <row r="48" spans="2:10" ht="28.8" x14ac:dyDescent="0.3">
      <c r="B48" s="43" t="s">
        <v>511</v>
      </c>
      <c r="C48" s="9" t="s">
        <v>727</v>
      </c>
      <c r="D48" s="32" t="s">
        <v>726</v>
      </c>
      <c r="E48" s="9">
        <v>5</v>
      </c>
      <c r="F48" s="9">
        <v>2</v>
      </c>
      <c r="G48" s="19" t="s">
        <v>1236</v>
      </c>
      <c r="H48" s="9">
        <v>2</v>
      </c>
      <c r="I48" s="9" t="s">
        <v>1260</v>
      </c>
      <c r="J48" s="9" t="s">
        <v>19</v>
      </c>
    </row>
    <row r="49" spans="2:10" ht="28.8" x14ac:dyDescent="0.3">
      <c r="B49" s="43" t="s">
        <v>511</v>
      </c>
      <c r="C49" s="9" t="s">
        <v>735</v>
      </c>
      <c r="D49" s="32" t="s">
        <v>746</v>
      </c>
      <c r="E49" s="9">
        <v>3</v>
      </c>
      <c r="F49" s="9">
        <v>3</v>
      </c>
      <c r="G49" s="19" t="s">
        <v>1236</v>
      </c>
      <c r="H49" s="9">
        <v>5</v>
      </c>
      <c r="I49" s="9" t="s">
        <v>1261</v>
      </c>
      <c r="J49" s="9" t="s">
        <v>21</v>
      </c>
    </row>
    <row r="50" spans="2:10" ht="28.8" x14ac:dyDescent="0.3">
      <c r="B50" s="43" t="s">
        <v>511</v>
      </c>
      <c r="C50" s="9" t="s">
        <v>761</v>
      </c>
      <c r="D50" s="45" t="s">
        <v>734</v>
      </c>
      <c r="E50" s="9">
        <v>8</v>
      </c>
      <c r="F50" s="9">
        <v>2</v>
      </c>
      <c r="G50" s="19" t="s">
        <v>1236</v>
      </c>
      <c r="H50" s="9">
        <v>3</v>
      </c>
      <c r="I50" s="9" t="s">
        <v>1257</v>
      </c>
      <c r="J50" s="9" t="s">
        <v>19</v>
      </c>
    </row>
    <row r="51" spans="2:10" ht="28.8" x14ac:dyDescent="0.3">
      <c r="B51" s="43" t="s">
        <v>511</v>
      </c>
      <c r="C51" s="9" t="s">
        <v>769</v>
      </c>
      <c r="D51" s="32" t="s">
        <v>768</v>
      </c>
      <c r="E51" s="9">
        <v>5</v>
      </c>
      <c r="F51" s="9">
        <v>3</v>
      </c>
      <c r="G51" s="19" t="s">
        <v>1237</v>
      </c>
      <c r="H51" s="9">
        <v>3</v>
      </c>
      <c r="I51" s="9" t="s">
        <v>1250</v>
      </c>
      <c r="J51" s="9" t="s">
        <v>19</v>
      </c>
    </row>
    <row r="52" spans="2:10" ht="28.8" x14ac:dyDescent="0.3">
      <c r="B52" s="43" t="s">
        <v>511</v>
      </c>
      <c r="C52" s="9" t="s">
        <v>785</v>
      </c>
      <c r="D52" s="32" t="s">
        <v>789</v>
      </c>
      <c r="E52" s="9">
        <v>3</v>
      </c>
      <c r="F52" s="9">
        <v>2</v>
      </c>
      <c r="G52" s="19" t="s">
        <v>1236</v>
      </c>
      <c r="H52" s="9">
        <v>1</v>
      </c>
      <c r="I52" s="9" t="s">
        <v>1242</v>
      </c>
      <c r="J52" s="9" t="s">
        <v>19</v>
      </c>
    </row>
    <row r="53" spans="2:10" ht="28.8" x14ac:dyDescent="0.3">
      <c r="B53" s="43" t="s">
        <v>511</v>
      </c>
      <c r="C53" s="9" t="s">
        <v>790</v>
      </c>
      <c r="D53" s="32" t="s">
        <v>791</v>
      </c>
      <c r="E53" s="9">
        <v>5</v>
      </c>
      <c r="F53" s="9">
        <v>2</v>
      </c>
      <c r="G53" s="19" t="s">
        <v>1236</v>
      </c>
      <c r="H53" s="9">
        <v>3</v>
      </c>
      <c r="I53" s="9" t="s">
        <v>1251</v>
      </c>
      <c r="J53" s="9" t="s">
        <v>19</v>
      </c>
    </row>
    <row r="54" spans="2:10" ht="28.8" x14ac:dyDescent="0.3">
      <c r="B54" s="43" t="s">
        <v>511</v>
      </c>
      <c r="C54" s="9" t="s">
        <v>792</v>
      </c>
      <c r="D54" s="32" t="s">
        <v>788</v>
      </c>
      <c r="E54" s="9">
        <v>4</v>
      </c>
      <c r="F54" s="9">
        <v>1</v>
      </c>
      <c r="G54" s="19" t="s">
        <v>1236</v>
      </c>
      <c r="H54" s="9">
        <v>5</v>
      </c>
      <c r="I54" s="9" t="s">
        <v>1238</v>
      </c>
      <c r="J54" s="9" t="s">
        <v>21</v>
      </c>
    </row>
    <row r="55" spans="2:10" ht="28.8" x14ac:dyDescent="0.3">
      <c r="B55" s="43" t="s">
        <v>511</v>
      </c>
      <c r="C55" s="9" t="s">
        <v>816</v>
      </c>
      <c r="D55" s="32" t="s">
        <v>815</v>
      </c>
      <c r="E55" s="9">
        <v>5</v>
      </c>
      <c r="F55" s="9">
        <v>2</v>
      </c>
      <c r="G55" s="19" t="s">
        <v>1236</v>
      </c>
      <c r="H55" s="9">
        <v>2</v>
      </c>
      <c r="I55" s="9" t="s">
        <v>1260</v>
      </c>
      <c r="J55" s="9" t="s">
        <v>19</v>
      </c>
    </row>
    <row r="56" spans="2:10" ht="28.8" x14ac:dyDescent="0.3">
      <c r="B56" s="43" t="s">
        <v>511</v>
      </c>
      <c r="C56" s="9" t="s">
        <v>824</v>
      </c>
      <c r="D56" s="32" t="s">
        <v>823</v>
      </c>
      <c r="E56" s="9">
        <v>3</v>
      </c>
      <c r="F56" s="9">
        <v>2</v>
      </c>
      <c r="G56" s="19" t="s">
        <v>1236</v>
      </c>
      <c r="H56" s="9">
        <v>1</v>
      </c>
      <c r="I56" s="9" t="s">
        <v>1242</v>
      </c>
      <c r="J56" s="9" t="s">
        <v>19</v>
      </c>
    </row>
    <row r="57" spans="2:10" ht="28.8" x14ac:dyDescent="0.3">
      <c r="B57" s="43" t="s">
        <v>511</v>
      </c>
      <c r="C57" s="9" t="s">
        <v>829</v>
      </c>
      <c r="D57" s="32" t="s">
        <v>830</v>
      </c>
      <c r="E57" s="9">
        <v>5</v>
      </c>
      <c r="F57" s="9">
        <v>3</v>
      </c>
      <c r="G57" s="19" t="s">
        <v>1236</v>
      </c>
      <c r="H57" s="9">
        <v>8</v>
      </c>
      <c r="I57" s="9" t="s">
        <v>1262</v>
      </c>
      <c r="J57" s="9" t="s">
        <v>20</v>
      </c>
    </row>
    <row r="58" spans="2:10" ht="28.8" x14ac:dyDescent="0.3">
      <c r="B58" s="43" t="s">
        <v>511</v>
      </c>
      <c r="C58" s="9" t="s">
        <v>843</v>
      </c>
      <c r="D58" s="32" t="s">
        <v>842</v>
      </c>
      <c r="E58" s="9">
        <v>3</v>
      </c>
      <c r="F58" s="9">
        <v>3</v>
      </c>
      <c r="G58" s="19" t="s">
        <v>1236</v>
      </c>
      <c r="H58" s="9">
        <v>5</v>
      </c>
      <c r="I58" s="9" t="s">
        <v>1261</v>
      </c>
      <c r="J58" s="9" t="s">
        <v>21</v>
      </c>
    </row>
    <row r="59" spans="2:10" ht="28.8" x14ac:dyDescent="0.3">
      <c r="B59" s="43" t="s">
        <v>511</v>
      </c>
      <c r="C59" s="9" t="s">
        <v>862</v>
      </c>
      <c r="D59" s="32" t="s">
        <v>861</v>
      </c>
      <c r="E59" s="9">
        <v>5</v>
      </c>
      <c r="F59" s="9">
        <v>3</v>
      </c>
      <c r="G59" s="19" t="s">
        <v>1236</v>
      </c>
      <c r="H59" s="9">
        <v>3</v>
      </c>
      <c r="I59" s="9" t="s">
        <v>1260</v>
      </c>
      <c r="J59" s="9" t="s">
        <v>19</v>
      </c>
    </row>
    <row r="60" spans="2:10" ht="28.8" x14ac:dyDescent="0.3">
      <c r="B60" s="43" t="s">
        <v>511</v>
      </c>
      <c r="C60" s="9" t="s">
        <v>872</v>
      </c>
      <c r="D60" s="32" t="s">
        <v>871</v>
      </c>
      <c r="E60" s="9">
        <v>5</v>
      </c>
      <c r="F60" s="9">
        <v>3</v>
      </c>
      <c r="G60" s="19" t="s">
        <v>1236</v>
      </c>
      <c r="H60" s="9">
        <v>6</v>
      </c>
      <c r="I60" s="9" t="s">
        <v>1243</v>
      </c>
      <c r="J60" s="9" t="s">
        <v>20</v>
      </c>
    </row>
    <row r="61" spans="2:10" ht="28.8" x14ac:dyDescent="0.3">
      <c r="B61" s="43" t="s">
        <v>511</v>
      </c>
      <c r="C61" s="9" t="s">
        <v>880</v>
      </c>
      <c r="D61" s="32" t="s">
        <v>879</v>
      </c>
      <c r="E61" s="9">
        <v>6</v>
      </c>
      <c r="F61" s="9">
        <v>2</v>
      </c>
      <c r="G61" s="19" t="s">
        <v>1236</v>
      </c>
      <c r="H61" s="9">
        <v>5</v>
      </c>
      <c r="I61" s="9" t="s">
        <v>1253</v>
      </c>
      <c r="J61" s="9" t="s">
        <v>20</v>
      </c>
    </row>
    <row r="62" spans="2:10" ht="28.8" x14ac:dyDescent="0.3">
      <c r="B62" s="43" t="s">
        <v>511</v>
      </c>
      <c r="C62" s="9" t="s">
        <v>899</v>
      </c>
      <c r="D62" s="32" t="s">
        <v>898</v>
      </c>
      <c r="E62" s="9">
        <v>8</v>
      </c>
      <c r="F62" s="9">
        <v>2</v>
      </c>
      <c r="G62" s="19" t="s">
        <v>1236</v>
      </c>
      <c r="H62" s="9">
        <v>3</v>
      </c>
      <c r="I62" s="9" t="s">
        <v>1257</v>
      </c>
      <c r="J62" s="9" t="s">
        <v>19</v>
      </c>
    </row>
    <row r="63" spans="2:10" ht="28.8" x14ac:dyDescent="0.3">
      <c r="B63" s="43" t="s">
        <v>914</v>
      </c>
      <c r="C63" s="9" t="s">
        <v>916</v>
      </c>
      <c r="D63" s="32" t="s">
        <v>915</v>
      </c>
      <c r="E63" s="9">
        <v>8</v>
      </c>
      <c r="F63" s="9">
        <v>3</v>
      </c>
      <c r="G63" s="19" t="s">
        <v>1237</v>
      </c>
      <c r="H63" s="9">
        <v>10</v>
      </c>
      <c r="I63" s="9" t="s">
        <v>1263</v>
      </c>
      <c r="J63" s="9" t="s">
        <v>20</v>
      </c>
    </row>
    <row r="64" spans="2:10" ht="28.8" x14ac:dyDescent="0.3">
      <c r="B64" s="43" t="s">
        <v>914</v>
      </c>
      <c r="C64" s="9" t="s">
        <v>918</v>
      </c>
      <c r="D64" s="32" t="s">
        <v>917</v>
      </c>
      <c r="E64" s="9">
        <v>8</v>
      </c>
      <c r="F64" s="9">
        <v>3</v>
      </c>
      <c r="G64" s="19" t="s">
        <v>1236</v>
      </c>
      <c r="H64" s="9">
        <v>4</v>
      </c>
      <c r="I64" s="9" t="s">
        <v>1242</v>
      </c>
      <c r="J64" s="9" t="s">
        <v>19</v>
      </c>
    </row>
    <row r="65" spans="2:10" ht="28.8" x14ac:dyDescent="0.3">
      <c r="B65" s="43" t="s">
        <v>914</v>
      </c>
      <c r="C65" s="9" t="s">
        <v>930</v>
      </c>
      <c r="D65" s="32" t="s">
        <v>919</v>
      </c>
      <c r="E65" s="9">
        <v>8</v>
      </c>
      <c r="F65" s="9">
        <v>2</v>
      </c>
      <c r="G65" s="19" t="s">
        <v>1236</v>
      </c>
      <c r="H65" s="9">
        <v>5</v>
      </c>
      <c r="I65" s="9" t="s">
        <v>1264</v>
      </c>
      <c r="J65" s="9" t="s">
        <v>19</v>
      </c>
    </row>
    <row r="66" spans="2:10" ht="28.8" x14ac:dyDescent="0.3">
      <c r="B66" s="43" t="s">
        <v>914</v>
      </c>
      <c r="C66" s="9" t="s">
        <v>931</v>
      </c>
      <c r="D66" s="32" t="s">
        <v>920</v>
      </c>
      <c r="E66" s="9">
        <v>1</v>
      </c>
      <c r="F66" s="9">
        <v>2</v>
      </c>
      <c r="G66" s="19" t="s">
        <v>1236</v>
      </c>
      <c r="H66" s="9">
        <v>3</v>
      </c>
      <c r="I66" s="9" t="s">
        <v>1238</v>
      </c>
      <c r="J66" s="9" t="s">
        <v>21</v>
      </c>
    </row>
    <row r="67" spans="2:10" ht="28.8" x14ac:dyDescent="0.3">
      <c r="B67" s="43" t="s">
        <v>914</v>
      </c>
      <c r="C67" s="9" t="s">
        <v>932</v>
      </c>
      <c r="D67" s="32" t="s">
        <v>921</v>
      </c>
      <c r="E67" s="9">
        <v>3</v>
      </c>
      <c r="F67" s="9">
        <v>3</v>
      </c>
      <c r="G67" s="19" t="s">
        <v>1236</v>
      </c>
      <c r="H67" s="9">
        <v>2</v>
      </c>
      <c r="I67" s="9" t="s">
        <v>1265</v>
      </c>
      <c r="J67" s="9" t="s">
        <v>19</v>
      </c>
    </row>
    <row r="68" spans="2:10" ht="28.8" x14ac:dyDescent="0.3">
      <c r="B68" s="43" t="s">
        <v>914</v>
      </c>
      <c r="C68" s="9" t="s">
        <v>933</v>
      </c>
      <c r="D68" s="32" t="s">
        <v>922</v>
      </c>
      <c r="E68" s="9">
        <v>3</v>
      </c>
      <c r="F68" s="9">
        <v>2</v>
      </c>
      <c r="G68" s="19" t="s">
        <v>1237</v>
      </c>
      <c r="H68" s="9">
        <v>5</v>
      </c>
      <c r="I68" s="9" t="s">
        <v>1258</v>
      </c>
      <c r="J68" s="9" t="s">
        <v>21</v>
      </c>
    </row>
    <row r="69" spans="2:10" ht="28.8" x14ac:dyDescent="0.3">
      <c r="B69" s="43" t="s">
        <v>914</v>
      </c>
      <c r="C69" s="9" t="s">
        <v>934</v>
      </c>
      <c r="D69" s="32" t="s">
        <v>923</v>
      </c>
      <c r="E69" s="9">
        <v>8</v>
      </c>
      <c r="F69" s="9">
        <v>3</v>
      </c>
      <c r="G69" s="19" t="s">
        <v>1236</v>
      </c>
      <c r="H69" s="9">
        <v>5</v>
      </c>
      <c r="I69" s="9" t="s">
        <v>1256</v>
      </c>
      <c r="J69" s="9" t="s">
        <v>19</v>
      </c>
    </row>
    <row r="70" spans="2:10" ht="28.8" x14ac:dyDescent="0.3">
      <c r="B70" s="43" t="s">
        <v>914</v>
      </c>
      <c r="C70" s="9" t="s">
        <v>935</v>
      </c>
      <c r="D70" s="32" t="s">
        <v>924</v>
      </c>
      <c r="E70" s="9">
        <v>8</v>
      </c>
      <c r="F70" s="9">
        <v>2</v>
      </c>
      <c r="G70" s="19" t="s">
        <v>1236</v>
      </c>
      <c r="H70" s="9">
        <v>5</v>
      </c>
      <c r="I70" s="9" t="s">
        <v>1253</v>
      </c>
      <c r="J70" s="9" t="s">
        <v>20</v>
      </c>
    </row>
    <row r="71" spans="2:10" ht="28.8" x14ac:dyDescent="0.3">
      <c r="B71" s="43" t="s">
        <v>914</v>
      </c>
      <c r="C71" s="9" t="s">
        <v>936</v>
      </c>
      <c r="D71" s="32" t="s">
        <v>925</v>
      </c>
      <c r="E71" s="9">
        <v>6</v>
      </c>
      <c r="F71" s="9">
        <v>3</v>
      </c>
      <c r="G71" s="19" t="s">
        <v>1236</v>
      </c>
      <c r="H71" s="9">
        <v>4</v>
      </c>
      <c r="I71" s="9" t="s">
        <v>1265</v>
      </c>
      <c r="J71" s="9" t="s">
        <v>19</v>
      </c>
    </row>
    <row r="72" spans="2:10" ht="28.8" x14ac:dyDescent="0.3">
      <c r="B72" s="43" t="s">
        <v>914</v>
      </c>
      <c r="C72" s="9" t="s">
        <v>937</v>
      </c>
      <c r="D72" s="32" t="s">
        <v>926</v>
      </c>
      <c r="E72" s="9">
        <v>5</v>
      </c>
      <c r="F72" s="9">
        <v>3</v>
      </c>
      <c r="G72" s="19" t="s">
        <v>1236</v>
      </c>
      <c r="H72" s="9">
        <v>5</v>
      </c>
      <c r="I72" s="9" t="s">
        <v>1245</v>
      </c>
      <c r="J72" s="9" t="s">
        <v>19</v>
      </c>
    </row>
    <row r="73" spans="2:10" ht="28.8" x14ac:dyDescent="0.3">
      <c r="B73" s="43" t="s">
        <v>914</v>
      </c>
      <c r="C73" s="9" t="s">
        <v>938</v>
      </c>
      <c r="D73" s="32" t="s">
        <v>927</v>
      </c>
      <c r="E73" s="9">
        <v>5</v>
      </c>
      <c r="F73" s="9">
        <v>3</v>
      </c>
      <c r="G73" s="19" t="s">
        <v>1236</v>
      </c>
      <c r="H73" s="9">
        <v>5</v>
      </c>
      <c r="I73" s="9" t="s">
        <v>1245</v>
      </c>
      <c r="J73" s="9" t="s">
        <v>19</v>
      </c>
    </row>
    <row r="74" spans="2:10" ht="28.8" x14ac:dyDescent="0.3">
      <c r="B74" s="43" t="s">
        <v>914</v>
      </c>
      <c r="C74" s="9" t="s">
        <v>939</v>
      </c>
      <c r="D74" s="32" t="s">
        <v>928</v>
      </c>
      <c r="E74" s="9">
        <v>5</v>
      </c>
      <c r="F74" s="9">
        <v>3</v>
      </c>
      <c r="G74" s="19" t="s">
        <v>1236</v>
      </c>
      <c r="H74" s="9">
        <v>3</v>
      </c>
      <c r="I74" s="9" t="s">
        <v>1260</v>
      </c>
      <c r="J74" s="9" t="s">
        <v>19</v>
      </c>
    </row>
    <row r="75" spans="2:10" ht="28.8" x14ac:dyDescent="0.3">
      <c r="B75" s="43" t="s">
        <v>914</v>
      </c>
      <c r="C75" s="9" t="s">
        <v>940</v>
      </c>
      <c r="D75" s="32" t="s">
        <v>929</v>
      </c>
      <c r="E75" s="9">
        <v>5</v>
      </c>
      <c r="F75" s="9">
        <v>3</v>
      </c>
      <c r="G75" s="19" t="s">
        <v>1236</v>
      </c>
      <c r="H75" s="9">
        <v>2</v>
      </c>
      <c r="I75" s="9" t="s">
        <v>1266</v>
      </c>
      <c r="J75" s="9" t="s">
        <v>19</v>
      </c>
    </row>
    <row r="76" spans="2:10" ht="28.8" x14ac:dyDescent="0.3">
      <c r="B76" s="43" t="s">
        <v>914</v>
      </c>
      <c r="C76" s="9" t="s">
        <v>1221</v>
      </c>
      <c r="D76" s="32" t="s">
        <v>1222</v>
      </c>
      <c r="E76" s="9">
        <v>3</v>
      </c>
      <c r="F76" s="9">
        <v>3</v>
      </c>
      <c r="G76" s="19" t="s">
        <v>1236</v>
      </c>
      <c r="H76" s="22">
        <v>2</v>
      </c>
      <c r="I76" s="22" t="s">
        <v>1265</v>
      </c>
      <c r="J76" s="22" t="s">
        <v>19</v>
      </c>
    </row>
    <row r="77" spans="2:10" ht="28.8" x14ac:dyDescent="0.3">
      <c r="B77" s="43" t="s">
        <v>914</v>
      </c>
      <c r="C77" s="9" t="s">
        <v>1268</v>
      </c>
      <c r="D77" s="32" t="s">
        <v>1272</v>
      </c>
      <c r="E77" s="9">
        <v>5</v>
      </c>
      <c r="F77" s="9">
        <v>3</v>
      </c>
      <c r="G77" s="19" t="s">
        <v>1236</v>
      </c>
      <c r="H77" s="9">
        <v>2</v>
      </c>
      <c r="I77" s="9" t="s">
        <v>1266</v>
      </c>
      <c r="J77" s="9" t="s">
        <v>19</v>
      </c>
    </row>
    <row r="78" spans="2:10" ht="28.8" x14ac:dyDescent="0.3">
      <c r="B78" s="43" t="s">
        <v>914</v>
      </c>
      <c r="C78" s="9" t="s">
        <v>1286</v>
      </c>
      <c r="D78" s="32" t="s">
        <v>1280</v>
      </c>
      <c r="E78" s="9">
        <v>5</v>
      </c>
      <c r="F78" s="9">
        <v>3</v>
      </c>
      <c r="G78" s="19" t="s">
        <v>1236</v>
      </c>
      <c r="H78" s="9">
        <v>2</v>
      </c>
      <c r="I78" s="9" t="s">
        <v>1266</v>
      </c>
      <c r="J78" s="9" t="s">
        <v>19</v>
      </c>
    </row>
    <row r="79" spans="2:10" ht="28.8" x14ac:dyDescent="0.3">
      <c r="B79" s="43" t="s">
        <v>511</v>
      </c>
      <c r="C79" s="9" t="s">
        <v>1294</v>
      </c>
      <c r="D79" s="32" t="s">
        <v>1293</v>
      </c>
      <c r="E79" s="9">
        <v>5</v>
      </c>
      <c r="F79" s="9">
        <v>3</v>
      </c>
      <c r="G79" s="19" t="s">
        <v>1236</v>
      </c>
      <c r="H79" s="9">
        <v>2</v>
      </c>
      <c r="I79" s="9" t="s">
        <v>1266</v>
      </c>
      <c r="J79" s="9" t="s">
        <v>19</v>
      </c>
    </row>
    <row r="80" spans="2:10" ht="28.8" x14ac:dyDescent="0.3">
      <c r="B80" s="43" t="s">
        <v>511</v>
      </c>
      <c r="C80" s="9" t="s">
        <v>1303</v>
      </c>
      <c r="D80" s="32" t="s">
        <v>1302</v>
      </c>
      <c r="E80" s="9">
        <v>5</v>
      </c>
      <c r="F80" s="9">
        <v>3</v>
      </c>
      <c r="G80" s="19" t="s">
        <v>1236</v>
      </c>
      <c r="H80" s="9">
        <v>2</v>
      </c>
      <c r="I80" s="9" t="s">
        <v>1266</v>
      </c>
      <c r="J80" s="9" t="s">
        <v>19</v>
      </c>
    </row>
    <row r="81" spans="2:10" ht="28.8" x14ac:dyDescent="0.3">
      <c r="B81" s="43" t="s">
        <v>511</v>
      </c>
      <c r="C81" s="9" t="s">
        <v>1331</v>
      </c>
      <c r="D81" s="32" t="s">
        <v>1332</v>
      </c>
      <c r="E81" s="9">
        <v>5</v>
      </c>
      <c r="F81" s="9">
        <v>3</v>
      </c>
      <c r="G81" s="19" t="s">
        <v>1236</v>
      </c>
      <c r="H81" s="9">
        <v>2</v>
      </c>
      <c r="I81" s="9" t="s">
        <v>1266</v>
      </c>
      <c r="J81" s="9" t="s">
        <v>19</v>
      </c>
    </row>
    <row r="82" spans="2:10" x14ac:dyDescent="0.3">
      <c r="B82" s="13"/>
      <c r="C82" s="13"/>
      <c r="D82" s="13"/>
      <c r="E82" s="13"/>
      <c r="F82" s="13"/>
      <c r="G82" s="13"/>
    </row>
    <row r="83" spans="2:10" x14ac:dyDescent="0.3">
      <c r="B83" s="13"/>
      <c r="C83" s="13"/>
      <c r="D83" s="14"/>
      <c r="E83" s="13"/>
      <c r="F83" s="13"/>
      <c r="G83" s="13"/>
    </row>
    <row r="84" spans="2:10" x14ac:dyDescent="0.3">
      <c r="B84" s="13"/>
      <c r="C84" s="13"/>
      <c r="D84" s="14"/>
      <c r="F84" s="13"/>
      <c r="G84" s="13"/>
    </row>
    <row r="85" spans="2:10" x14ac:dyDescent="0.3">
      <c r="B85" s="13"/>
      <c r="C85" s="13"/>
      <c r="D85" s="14"/>
      <c r="E85" s="13"/>
      <c r="F85" s="13"/>
      <c r="G85" s="13"/>
    </row>
    <row r="86" spans="2:10" x14ac:dyDescent="0.3">
      <c r="B86" s="13"/>
      <c r="C86" s="13"/>
      <c r="D86" s="14"/>
      <c r="E86" s="13"/>
      <c r="F86" s="13"/>
      <c r="G86" s="13"/>
    </row>
    <row r="87" spans="2:10" x14ac:dyDescent="0.3">
      <c r="B87" s="13"/>
      <c r="C87" s="13"/>
      <c r="E87" s="13"/>
      <c r="F87" s="13"/>
      <c r="G87" s="13"/>
    </row>
    <row r="88" spans="2:10" x14ac:dyDescent="0.3">
      <c r="B88" s="13"/>
      <c r="C88" s="13"/>
      <c r="D88" s="25"/>
      <c r="E88" s="13"/>
      <c r="F88" s="13"/>
      <c r="G88" s="13"/>
    </row>
    <row r="89" spans="2:10" x14ac:dyDescent="0.3">
      <c r="B89" s="13"/>
      <c r="C89" s="13"/>
      <c r="D89" s="25"/>
      <c r="E89" s="13"/>
      <c r="F89" s="13"/>
      <c r="G89" s="13"/>
    </row>
    <row r="90" spans="2:10" x14ac:dyDescent="0.3">
      <c r="D90" s="25"/>
    </row>
    <row r="91" spans="2:10" x14ac:dyDescent="0.3">
      <c r="D91" s="13"/>
    </row>
    <row r="92" spans="2:10" x14ac:dyDescent="0.3">
      <c r="D92" s="14"/>
    </row>
  </sheetData>
  <phoneticPr fontId="3" type="noConversion"/>
  <pageMargins left="0.7" right="0.7" top="0.75" bottom="0.75" header="0.3" footer="0.3"/>
  <drawing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49632127-65C0-4985-B557-96559030C499}">
          <x14:formula1>
            <xm:f>Configuración!$E$5:$E$7</xm:f>
          </x14:formula1>
          <xm:sqref>F82:F89 J5:J81</xm:sqref>
        </x14:dataValidation>
        <x14:dataValidation type="list" allowBlank="1" showInputMessage="1" showErrorMessage="1" xr:uid="{1B06FF9E-094F-44D1-90E2-E0F469FCF2F1}">
          <x14:formula1>
            <xm:f>Epicas!$C$5:$C$8</xm:f>
          </x14:formula1>
          <xm:sqref>B5:B89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300C31-0771-4298-A320-E4D365E0F6D3}">
  <sheetPr>
    <tabColor rgb="FFFFFF00"/>
  </sheetPr>
  <dimension ref="B3:H629"/>
  <sheetViews>
    <sheetView topLeftCell="A588" workbookViewId="0">
      <selection activeCell="H585" sqref="H585:H625"/>
    </sheetView>
  </sheetViews>
  <sheetFormatPr baseColWidth="10" defaultRowHeight="14.4" x14ac:dyDescent="0.3"/>
  <cols>
    <col min="1" max="1" width="5.33203125" customWidth="1"/>
    <col min="2" max="2" width="23.21875" customWidth="1"/>
    <col min="3" max="3" width="49.88671875" customWidth="1"/>
    <col min="4" max="4" width="15" customWidth="1"/>
    <col min="5" max="5" width="12.109375" customWidth="1"/>
    <col min="6" max="6" width="40.21875" customWidth="1"/>
    <col min="7" max="7" width="16" customWidth="1"/>
    <col min="8" max="8" width="16.109375" customWidth="1"/>
  </cols>
  <sheetData>
    <row r="3" spans="2:8" x14ac:dyDescent="0.3">
      <c r="B3" s="7" t="s">
        <v>28</v>
      </c>
      <c r="C3" s="8"/>
      <c r="D3" s="8"/>
      <c r="E3" s="8"/>
      <c r="F3" s="8"/>
      <c r="G3" s="8"/>
      <c r="H3" s="8"/>
    </row>
    <row r="4" spans="2:8" x14ac:dyDescent="0.3">
      <c r="B4" s="23" t="s">
        <v>27</v>
      </c>
      <c r="C4" s="24" t="s">
        <v>2</v>
      </c>
      <c r="D4" s="24" t="s">
        <v>11</v>
      </c>
      <c r="E4" s="24" t="s">
        <v>29</v>
      </c>
      <c r="F4" s="24" t="s">
        <v>0</v>
      </c>
      <c r="G4" s="24" t="s">
        <v>1184</v>
      </c>
      <c r="H4" s="24" t="s">
        <v>6</v>
      </c>
    </row>
    <row r="5" spans="2:8" ht="28.8" x14ac:dyDescent="0.3">
      <c r="B5" s="15" t="s">
        <v>51</v>
      </c>
      <c r="C5" s="9" t="s">
        <v>51</v>
      </c>
      <c r="D5" s="9" t="s">
        <v>51</v>
      </c>
      <c r="E5" s="9" t="s">
        <v>34</v>
      </c>
      <c r="F5" s="10" t="s">
        <v>35</v>
      </c>
      <c r="G5" s="5" t="s">
        <v>1190</v>
      </c>
      <c r="H5" s="9" t="s">
        <v>17</v>
      </c>
    </row>
    <row r="6" spans="2:8" x14ac:dyDescent="0.3">
      <c r="B6" s="15" t="s">
        <v>51</v>
      </c>
      <c r="C6" s="9" t="s">
        <v>51</v>
      </c>
      <c r="D6" s="9" t="s">
        <v>51</v>
      </c>
      <c r="E6" s="9" t="s">
        <v>36</v>
      </c>
      <c r="F6" s="10" t="s">
        <v>45</v>
      </c>
      <c r="G6" s="5" t="s">
        <v>1190</v>
      </c>
      <c r="H6" s="9" t="s">
        <v>17</v>
      </c>
    </row>
    <row r="7" spans="2:8" x14ac:dyDescent="0.3">
      <c r="B7" s="15" t="s">
        <v>51</v>
      </c>
      <c r="C7" s="9" t="s">
        <v>51</v>
      </c>
      <c r="D7" s="9" t="s">
        <v>51</v>
      </c>
      <c r="E7" s="9" t="s">
        <v>37</v>
      </c>
      <c r="F7" s="10" t="s">
        <v>44</v>
      </c>
      <c r="G7" s="5" t="s">
        <v>1190</v>
      </c>
      <c r="H7" s="9" t="s">
        <v>17</v>
      </c>
    </row>
    <row r="8" spans="2:8" x14ac:dyDescent="0.3">
      <c r="B8" s="15" t="s">
        <v>51</v>
      </c>
      <c r="C8" s="9" t="s">
        <v>51</v>
      </c>
      <c r="D8" s="9" t="s">
        <v>51</v>
      </c>
      <c r="E8" s="9" t="s">
        <v>38</v>
      </c>
      <c r="F8" s="10" t="s">
        <v>43</v>
      </c>
      <c r="G8" s="5" t="s">
        <v>1190</v>
      </c>
      <c r="H8" s="9" t="s">
        <v>17</v>
      </c>
    </row>
    <row r="9" spans="2:8" ht="28.8" x14ac:dyDescent="0.3">
      <c r="B9" s="15" t="s">
        <v>51</v>
      </c>
      <c r="C9" s="9" t="s">
        <v>51</v>
      </c>
      <c r="D9" s="9" t="s">
        <v>51</v>
      </c>
      <c r="E9" s="9" t="s">
        <v>39</v>
      </c>
      <c r="F9" s="10" t="s">
        <v>30</v>
      </c>
      <c r="G9" s="5" t="s">
        <v>1190</v>
      </c>
      <c r="H9" s="9" t="s">
        <v>17</v>
      </c>
    </row>
    <row r="10" spans="2:8" ht="44.4" x14ac:dyDescent="0.3">
      <c r="B10" s="15" t="s">
        <v>51</v>
      </c>
      <c r="C10" s="9" t="s">
        <v>51</v>
      </c>
      <c r="D10" s="9" t="s">
        <v>51</v>
      </c>
      <c r="E10" s="9" t="s">
        <v>40</v>
      </c>
      <c r="F10" s="10" t="s">
        <v>42</v>
      </c>
      <c r="G10" s="5" t="s">
        <v>1190</v>
      </c>
      <c r="H10" s="9" t="s">
        <v>17</v>
      </c>
    </row>
    <row r="11" spans="2:8" ht="28.8" x14ac:dyDescent="0.3">
      <c r="B11" s="15" t="s">
        <v>51</v>
      </c>
      <c r="C11" s="9" t="s">
        <v>51</v>
      </c>
      <c r="D11" s="9" t="s">
        <v>51</v>
      </c>
      <c r="E11" s="9" t="s">
        <v>48</v>
      </c>
      <c r="F11" s="10" t="s">
        <v>41</v>
      </c>
      <c r="G11" s="5" t="s">
        <v>1190</v>
      </c>
      <c r="H11" s="9" t="s">
        <v>17</v>
      </c>
    </row>
    <row r="12" spans="2:8" x14ac:dyDescent="0.3">
      <c r="B12" s="15" t="s">
        <v>51</v>
      </c>
      <c r="C12" s="9" t="s">
        <v>51</v>
      </c>
      <c r="D12" s="9" t="s">
        <v>51</v>
      </c>
      <c r="E12" s="9" t="s">
        <v>49</v>
      </c>
      <c r="F12" s="10" t="s">
        <v>46</v>
      </c>
      <c r="G12" s="5" t="s">
        <v>1190</v>
      </c>
      <c r="H12" s="9" t="s">
        <v>17</v>
      </c>
    </row>
    <row r="13" spans="2:8" ht="28.8" x14ac:dyDescent="0.3">
      <c r="B13" s="15" t="s">
        <v>51</v>
      </c>
      <c r="C13" s="9" t="s">
        <v>51</v>
      </c>
      <c r="D13" s="9" t="s">
        <v>51</v>
      </c>
      <c r="E13" s="9" t="s">
        <v>50</v>
      </c>
      <c r="F13" s="10" t="s">
        <v>47</v>
      </c>
      <c r="G13" s="5" t="s">
        <v>1190</v>
      </c>
      <c r="H13" s="9" t="s">
        <v>17</v>
      </c>
    </row>
    <row r="14" spans="2:8" ht="28.8" x14ac:dyDescent="0.3">
      <c r="B14" s="18" t="str">
        <f>IFERROR(_xlfn.XLOOKUP(D14,'Historias de Usuario'!C:C,'Historias de Usuario'!B:B, "Selecciona una historia"), "")</f>
        <v>Autenticación y Acceso</v>
      </c>
      <c r="C14" s="10" t="str">
        <f>IFERROR(_xlfn.XLOOKUP(D14,'Historias de Usuario'!C:C,'Historias de Usuario'!D:D, "Selecciona una historia"), "")</f>
        <v>Como usuario del sistema quiero poder iniciar y cerrar sesión para acceder a las funcionalidades según mi rol</v>
      </c>
      <c r="D14" s="9" t="s">
        <v>3</v>
      </c>
      <c r="E14" s="21" t="s">
        <v>57</v>
      </c>
      <c r="F14" s="10" t="s">
        <v>56</v>
      </c>
      <c r="G14" s="10" t="s">
        <v>1185</v>
      </c>
      <c r="H14" s="9" t="s">
        <v>17</v>
      </c>
    </row>
    <row r="15" spans="2:8" ht="28.8" x14ac:dyDescent="0.3">
      <c r="B15" s="20" t="s">
        <v>52</v>
      </c>
      <c r="C15" s="21" t="str">
        <f>IFERROR(_xlfn.XLOOKUP(D15,'Historias de Usuario'!C:C,'Historias de Usuario'!D:D, "Selecciona una historia"), "")</f>
        <v>Como usuario del sistema quiero poder iniciar y cerrar sesión para acceder a las funcionalidades según mi rol</v>
      </c>
      <c r="D15" s="22" t="s">
        <v>3</v>
      </c>
      <c r="E15" s="21" t="s">
        <v>55</v>
      </c>
      <c r="F15" s="21" t="s">
        <v>54</v>
      </c>
      <c r="G15" s="10" t="s">
        <v>1185</v>
      </c>
      <c r="H15" s="22" t="s">
        <v>17</v>
      </c>
    </row>
    <row r="16" spans="2:8" ht="28.8" x14ac:dyDescent="0.3">
      <c r="B16" s="20" t="str">
        <f>IFERROR(_xlfn.XLOOKUP(D16,'Historias de Usuario'!C:C,'Historias de Usuario'!B:B, "Selecciona una historia"), "")</f>
        <v>Autenticación y Acceso</v>
      </c>
      <c r="C16" s="21" t="str">
        <f>IFERROR(_xlfn.XLOOKUP(D16,'Historias de Usuario'!C:C,'Historias de Usuario'!D:D, "Selecciona una historia"), "")</f>
        <v>Como usuario del sistema quiero poder iniciar y cerrar sesión para acceder a las funcionalidades según mi rol</v>
      </c>
      <c r="D16" s="22" t="s">
        <v>3</v>
      </c>
      <c r="E16" s="21" t="s">
        <v>58</v>
      </c>
      <c r="F16" s="21" t="s">
        <v>67</v>
      </c>
      <c r="G16" s="10" t="s">
        <v>1185</v>
      </c>
      <c r="H16" s="22" t="s">
        <v>17</v>
      </c>
    </row>
    <row r="17" spans="2:8" ht="28.8" x14ac:dyDescent="0.3">
      <c r="B17" s="20" t="str">
        <f>IFERROR(_xlfn.XLOOKUP(D17,'Historias de Usuario'!C:C,'Historias de Usuario'!B:B, "Selecciona una historia"), "")</f>
        <v>Autenticación y Acceso</v>
      </c>
      <c r="C17" s="21" t="str">
        <f>IFERROR(_xlfn.XLOOKUP(D17,'Historias de Usuario'!C:C,'Historias de Usuario'!D:D, "Selecciona una historia"), "")</f>
        <v>Como usuario del sistema quiero poder iniciar y cerrar sesión para acceder a las funcionalidades según mi rol</v>
      </c>
      <c r="D17" s="22" t="s">
        <v>3</v>
      </c>
      <c r="E17" s="21" t="s">
        <v>59</v>
      </c>
      <c r="F17" s="21" t="s">
        <v>68</v>
      </c>
      <c r="G17" s="10" t="s">
        <v>1185</v>
      </c>
      <c r="H17" s="22" t="s">
        <v>17</v>
      </c>
    </row>
    <row r="18" spans="2:8" ht="28.8" x14ac:dyDescent="0.3">
      <c r="B18" s="20" t="str">
        <f>IFERROR(_xlfn.XLOOKUP(D18,'Historias de Usuario'!C:C,'Historias de Usuario'!B:B, "Selecciona una historia"), "")</f>
        <v>Autenticación y Acceso</v>
      </c>
      <c r="C18" s="21" t="str">
        <f>IFERROR(_xlfn.XLOOKUP(D18,'Historias de Usuario'!C:C,'Historias de Usuario'!D:D, "Selecciona una historia"), "")</f>
        <v>Como usuario del sistema quiero poder iniciar y cerrar sesión para acceder a las funcionalidades según mi rol</v>
      </c>
      <c r="D18" s="22" t="s">
        <v>3</v>
      </c>
      <c r="E18" s="21" t="s">
        <v>60</v>
      </c>
      <c r="F18" s="21" t="s">
        <v>69</v>
      </c>
      <c r="G18" s="10" t="s">
        <v>1185</v>
      </c>
      <c r="H18" s="22" t="s">
        <v>17</v>
      </c>
    </row>
    <row r="19" spans="2:8" ht="28.8" x14ac:dyDescent="0.3">
      <c r="B19" s="20" t="str">
        <f>IFERROR(_xlfn.XLOOKUP(D19,'Historias de Usuario'!C:C,'Historias de Usuario'!B:B, "Selecciona una historia"), "")</f>
        <v>Autenticación y Acceso</v>
      </c>
      <c r="C19" s="21" t="str">
        <f>IFERROR(_xlfn.XLOOKUP(D19,'Historias de Usuario'!C:C,'Historias de Usuario'!D:D, "Selecciona una historia"), "")</f>
        <v>Como usuario del sistema quiero poder iniciar y cerrar sesión para acceder a las funcionalidades según mi rol</v>
      </c>
      <c r="D19" s="22" t="s">
        <v>3</v>
      </c>
      <c r="E19" s="21" t="s">
        <v>62</v>
      </c>
      <c r="F19" s="21" t="s">
        <v>61</v>
      </c>
      <c r="G19" s="10" t="s">
        <v>1185</v>
      </c>
      <c r="H19" s="22" t="s">
        <v>17</v>
      </c>
    </row>
    <row r="20" spans="2:8" ht="28.8" x14ac:dyDescent="0.3">
      <c r="B20" s="20" t="str">
        <f>IFERROR(_xlfn.XLOOKUP(D20,'Historias de Usuario'!C:C,'Historias de Usuario'!B:B, "Selecciona una historia"), "")</f>
        <v>Autenticación y Acceso</v>
      </c>
      <c r="C20" s="21" t="str">
        <f>IFERROR(_xlfn.XLOOKUP(D20,'Historias de Usuario'!C:C,'Historias de Usuario'!D:D, "Selecciona una historia"), "")</f>
        <v>Como usuario del sistema quiero poder iniciar y cerrar sesión para acceder a las funcionalidades según mi rol</v>
      </c>
      <c r="D20" s="22" t="s">
        <v>3</v>
      </c>
      <c r="E20" s="21" t="s">
        <v>64</v>
      </c>
      <c r="F20" s="21" t="s">
        <v>63</v>
      </c>
      <c r="G20" s="10" t="s">
        <v>1185</v>
      </c>
      <c r="H20" s="22" t="s">
        <v>17</v>
      </c>
    </row>
    <row r="21" spans="2:8" ht="43.2" x14ac:dyDescent="0.3">
      <c r="B21" s="20" t="str">
        <f>IFERROR(_xlfn.XLOOKUP(D21,'Historias de Usuario'!C:C,'Historias de Usuario'!B:B, "Selecciona una historia"), "")</f>
        <v>Autenticación y Acceso</v>
      </c>
      <c r="C21" s="21" t="str">
        <f>IFERROR(_xlfn.XLOOKUP(D21,'Historias de Usuario'!C:C,'Historias de Usuario'!D:D, "Selecciona una historia"), "")</f>
        <v>Como usuario del sistema quiero poder iniciar y cerrar sesión para acceder a las funcionalidades según mi rol</v>
      </c>
      <c r="D21" s="22" t="s">
        <v>3</v>
      </c>
      <c r="E21" s="21" t="s">
        <v>66</v>
      </c>
      <c r="F21" s="21" t="s">
        <v>65</v>
      </c>
      <c r="G21" s="10" t="s">
        <v>1185</v>
      </c>
      <c r="H21" s="22" t="s">
        <v>17</v>
      </c>
    </row>
    <row r="22" spans="2:8" ht="28.8" x14ac:dyDescent="0.3">
      <c r="B22" s="20" t="str">
        <f>IFERROR(_xlfn.XLOOKUP(D22,'Historias de Usuario'!C:C,'Historias de Usuario'!B:B, "Selecciona una historia"), "")</f>
        <v>Autenticación y Acceso</v>
      </c>
      <c r="C22" s="21" t="str">
        <f>IFERROR(_xlfn.XLOOKUP(D22,'Historias de Usuario'!C:C,'Historias de Usuario'!D:D, "Selecciona una historia"), "")</f>
        <v>Como usuario del sistema quiero poder iniciar y cerrar sesión para acceder a las funcionalidades según mi rol</v>
      </c>
      <c r="D22" s="22" t="s">
        <v>3</v>
      </c>
      <c r="E22" s="21" t="s">
        <v>70</v>
      </c>
      <c r="F22" s="21" t="s">
        <v>71</v>
      </c>
      <c r="G22" s="10" t="s">
        <v>1185</v>
      </c>
      <c r="H22" s="22" t="s">
        <v>33</v>
      </c>
    </row>
    <row r="23" spans="2:8" ht="28.8" x14ac:dyDescent="0.3">
      <c r="B23" s="20" t="str">
        <f>IFERROR(_xlfn.XLOOKUP(D23,'Historias de Usuario'!C:C,'Historias de Usuario'!B:B, "Selecciona una historia"), "")</f>
        <v>Autenticación y Acceso</v>
      </c>
      <c r="C23" s="21" t="str">
        <f>IFERROR(_xlfn.XLOOKUP(D23,'Historias de Usuario'!C:C,'Historias de Usuario'!D:D, "Selecciona una historia"), "")</f>
        <v>Como usuario del sistema quiero poder iniciar y cerrar sesión para acceder a las funcionalidades según mi rol</v>
      </c>
      <c r="D23" s="22" t="s">
        <v>3</v>
      </c>
      <c r="E23" s="21" t="s">
        <v>73</v>
      </c>
      <c r="F23" s="21" t="s">
        <v>72</v>
      </c>
      <c r="G23" s="10" t="s">
        <v>1185</v>
      </c>
      <c r="H23" s="22" t="s">
        <v>17</v>
      </c>
    </row>
    <row r="24" spans="2:8" ht="28.8" x14ac:dyDescent="0.3">
      <c r="B24" s="20" t="str">
        <f>IFERROR(_xlfn.XLOOKUP(D24,'Historias de Usuario'!C:C,'Historias de Usuario'!B:B, "Selecciona una historia"), "")</f>
        <v>Autenticación y Acceso</v>
      </c>
      <c r="C24" s="21" t="str">
        <f>IFERROR(_xlfn.XLOOKUP(D24,'Historias de Usuario'!C:C,'Historias de Usuario'!D:D, "Selecciona una historia"), "")</f>
        <v>Como usuario del sistema quiero poder iniciar y cerrar sesión para acceder a las funcionalidades según mi rol</v>
      </c>
      <c r="D24" s="22" t="s">
        <v>3</v>
      </c>
      <c r="E24" s="21" t="s">
        <v>75</v>
      </c>
      <c r="F24" s="21" t="s">
        <v>74</v>
      </c>
      <c r="G24" s="10" t="s">
        <v>1185</v>
      </c>
      <c r="H24" s="22" t="s">
        <v>17</v>
      </c>
    </row>
    <row r="25" spans="2:8" ht="43.2" x14ac:dyDescent="0.3">
      <c r="B25" s="20" t="str">
        <f>IFERROR(_xlfn.XLOOKUP(D25,'Historias de Usuario'!C:C,'Historias de Usuario'!B:B, "Selecciona una historia"), "")</f>
        <v>Autenticación y Acceso</v>
      </c>
      <c r="C25" s="21" t="str">
        <f>IFERROR(_xlfn.XLOOKUP(D25,'Historias de Usuario'!C:C,'Historias de Usuario'!D:D, "Selecciona una historia"), "")</f>
        <v>Como usuario del sistema quiero poder iniciar y cerrar sesión para acceder a las funcionalidades según mi rol</v>
      </c>
      <c r="D25" s="22" t="s">
        <v>3</v>
      </c>
      <c r="E25" s="21" t="s">
        <v>77</v>
      </c>
      <c r="F25" s="21" t="s">
        <v>76</v>
      </c>
      <c r="G25" s="10" t="s">
        <v>1185</v>
      </c>
      <c r="H25" s="22" t="s">
        <v>17</v>
      </c>
    </row>
    <row r="26" spans="2:8" ht="28.8" x14ac:dyDescent="0.3">
      <c r="B26" s="20" t="str">
        <f>IFERROR(_xlfn.XLOOKUP(D26,'Historias de Usuario'!C:C,'Historias de Usuario'!B:B, "Selecciona una historia"), "")</f>
        <v>Autenticación y Acceso</v>
      </c>
      <c r="C26" s="21" t="str">
        <f>IFERROR(_xlfn.XLOOKUP(D26,'Historias de Usuario'!C:C,'Historias de Usuario'!D:D, "Selecciona una historia"), "")</f>
        <v>Como usuario del sistema quiero poder iniciar y cerrar sesión para acceder a las funcionalidades según mi rol</v>
      </c>
      <c r="D26" s="22" t="s">
        <v>3</v>
      </c>
      <c r="E26" s="21" t="s">
        <v>78</v>
      </c>
      <c r="F26" s="21" t="s">
        <v>54</v>
      </c>
      <c r="G26" s="10" t="s">
        <v>1185</v>
      </c>
      <c r="H26" s="22" t="s">
        <v>17</v>
      </c>
    </row>
    <row r="27" spans="2:8" ht="28.8" x14ac:dyDescent="0.3">
      <c r="B27" s="20" t="str">
        <f>IFERROR(_xlfn.XLOOKUP(D27,'Historias de Usuario'!C:C,'Historias de Usuario'!B:B, "Selecciona una historia"), "")</f>
        <v>Autenticación y Acceso</v>
      </c>
      <c r="C27" s="21" t="str">
        <f>IFERROR(_xlfn.XLOOKUP(D27,'Historias de Usuario'!C:C,'Historias de Usuario'!D:D, "Selecciona una historia"), "")</f>
        <v>Como usuario del sistema quiero poder iniciar y cerrar sesión para acceder a las funcionalidades según mi rol</v>
      </c>
      <c r="D27" s="22" t="s">
        <v>3</v>
      </c>
      <c r="E27" s="21" t="s">
        <v>79</v>
      </c>
      <c r="F27" s="21" t="s">
        <v>67</v>
      </c>
      <c r="G27" s="10" t="s">
        <v>1185</v>
      </c>
      <c r="H27" s="22" t="s">
        <v>17</v>
      </c>
    </row>
    <row r="28" spans="2:8" ht="28.8" x14ac:dyDescent="0.3">
      <c r="B28" s="20" t="str">
        <f>IFERROR(_xlfn.XLOOKUP(D28,'Historias de Usuario'!C:C,'Historias de Usuario'!B:B, "Selecciona una historia"), "")</f>
        <v>Autenticación y Acceso</v>
      </c>
      <c r="C28" s="21" t="str">
        <f>IFERROR(_xlfn.XLOOKUP(D28,'Historias de Usuario'!C:C,'Historias de Usuario'!D:D, "Selecciona una historia"), "")</f>
        <v>Como usuario del sistema quiero poder iniciar y cerrar sesión para acceder a las funcionalidades según mi rol</v>
      </c>
      <c r="D28" s="22" t="s">
        <v>3</v>
      </c>
      <c r="E28" s="21" t="s">
        <v>80</v>
      </c>
      <c r="F28" s="21" t="s">
        <v>68</v>
      </c>
      <c r="G28" s="10" t="s">
        <v>1185</v>
      </c>
      <c r="H28" s="22" t="s">
        <v>17</v>
      </c>
    </row>
    <row r="29" spans="2:8" ht="28.8" x14ac:dyDescent="0.3">
      <c r="B29" s="18" t="str">
        <f>IFERROR(_xlfn.XLOOKUP(D29,'Historias de Usuario'!C:C,'Historias de Usuario'!B:B, "Selecciona una historia"), "")</f>
        <v>Autenticación y Acceso</v>
      </c>
      <c r="C29" s="10" t="str">
        <f>IFERROR(_xlfn.XLOOKUP(D29,'Historias de Usuario'!C:C,'Historias de Usuario'!D:D, "Selecciona una historia"), "")</f>
        <v>Como usuario del sistema quiero poder iniciar y cerrar sesión para acceder a las funcionalidades según mi rol</v>
      </c>
      <c r="D29" s="22" t="s">
        <v>3</v>
      </c>
      <c r="E29" s="21" t="s">
        <v>81</v>
      </c>
      <c r="F29" s="21" t="s">
        <v>69</v>
      </c>
      <c r="G29" s="10" t="s">
        <v>1185</v>
      </c>
      <c r="H29" s="9" t="s">
        <v>17</v>
      </c>
    </row>
    <row r="30" spans="2:8" ht="28.8" x14ac:dyDescent="0.3">
      <c r="B30" s="18" t="str">
        <f>IFERROR(_xlfn.XLOOKUP(D30,'Historias de Usuario'!C:C,'Historias de Usuario'!B:B, "Selecciona una historia"), "")</f>
        <v>Autenticación y Acceso</v>
      </c>
      <c r="C30" s="10" t="str">
        <f>IFERROR(_xlfn.XLOOKUP(D30,'Historias de Usuario'!C:C,'Historias de Usuario'!D:D, "Selecciona una historia"), "")</f>
        <v>Como usuario del sistema quiero poder iniciar y cerrar sesión para acceder a las funcionalidades según mi rol</v>
      </c>
      <c r="D30" s="22" t="s">
        <v>3</v>
      </c>
      <c r="E30" s="21" t="s">
        <v>82</v>
      </c>
      <c r="F30" s="21" t="s">
        <v>61</v>
      </c>
      <c r="G30" s="10" t="s">
        <v>1185</v>
      </c>
      <c r="H30" s="9" t="s">
        <v>17</v>
      </c>
    </row>
    <row r="31" spans="2:8" ht="28.8" x14ac:dyDescent="0.3">
      <c r="B31" s="18" t="str">
        <f>IFERROR(_xlfn.XLOOKUP(D31,'Historias de Usuario'!C:C,'Historias de Usuario'!B:B, "Selecciona una historia"), "")</f>
        <v>Autenticación y Acceso</v>
      </c>
      <c r="C31" s="10" t="str">
        <f>IFERROR(_xlfn.XLOOKUP(D31,'Historias de Usuario'!C:C,'Historias de Usuario'!D:D, "Selecciona una historia"), "")</f>
        <v>Como usuario del sistema quiero poder iniciar y cerrar sesión para acceder a las funcionalidades según mi rol</v>
      </c>
      <c r="D31" s="22" t="s">
        <v>3</v>
      </c>
      <c r="E31" s="21" t="s">
        <v>83</v>
      </c>
      <c r="F31" s="21" t="s">
        <v>63</v>
      </c>
      <c r="G31" s="10" t="s">
        <v>1185</v>
      </c>
      <c r="H31" s="9" t="s">
        <v>17</v>
      </c>
    </row>
    <row r="32" spans="2:8" ht="28.8" x14ac:dyDescent="0.3">
      <c r="B32" s="20" t="str">
        <f>IFERROR(_xlfn.XLOOKUP(D32,'Historias de Usuario'!C:C,'Historias de Usuario'!B:B, "Selecciona una historia"), "")</f>
        <v>Autenticación y Acceso</v>
      </c>
      <c r="C32" s="21" t="str">
        <f>IFERROR(_xlfn.XLOOKUP(D32,'Historias de Usuario'!C:C,'Historias de Usuario'!D:D, "Selecciona una historia"), "")</f>
        <v>Como usuario del sistema quiero poder iniciar y cerrar sesión para acceder a las funcionalidades según mi rol</v>
      </c>
      <c r="D32" s="22" t="s">
        <v>3</v>
      </c>
      <c r="E32" s="21" t="s">
        <v>84</v>
      </c>
      <c r="F32" s="21" t="s">
        <v>71</v>
      </c>
      <c r="G32" s="10" t="s">
        <v>1185</v>
      </c>
      <c r="H32" s="22" t="s">
        <v>33</v>
      </c>
    </row>
    <row r="33" spans="2:8" ht="28.8" x14ac:dyDescent="0.3">
      <c r="B33" s="18" t="str">
        <f>IFERROR(_xlfn.XLOOKUP(D33,'Historias de Usuario'!C:C,'Historias de Usuario'!B:B, "Selecciona una historia"), "")</f>
        <v>Autenticación y Acceso</v>
      </c>
      <c r="C33" s="10" t="str">
        <f>IFERROR(_xlfn.XLOOKUP(D33,'Historias de Usuario'!C:C,'Historias de Usuario'!D:D, "Selecciona una historia"), "")</f>
        <v>Como usuario del sistema quiero poder iniciar y cerrar sesión para acceder a las funcionalidades según mi rol</v>
      </c>
      <c r="D33" s="22" t="s">
        <v>3</v>
      </c>
      <c r="E33" s="21" t="s">
        <v>85</v>
      </c>
      <c r="F33" s="21" t="s">
        <v>98</v>
      </c>
      <c r="G33" s="10" t="s">
        <v>1185</v>
      </c>
      <c r="H33" s="9" t="s">
        <v>17</v>
      </c>
    </row>
    <row r="34" spans="2:8" ht="28.8" x14ac:dyDescent="0.3">
      <c r="B34" s="18" t="str">
        <f>IFERROR(_xlfn.XLOOKUP(D34,'Historias de Usuario'!C:C,'Historias de Usuario'!B:B, "Selecciona una historia"), "")</f>
        <v>Autenticación y Acceso</v>
      </c>
      <c r="C34" s="10" t="str">
        <f>IFERROR(_xlfn.XLOOKUP(D34,'Historias de Usuario'!C:C,'Historias de Usuario'!D:D, "Selecciona una historia"), "")</f>
        <v>Como usuario del sistema quiero poder iniciar y cerrar sesión para acceder a las funcionalidades según mi rol</v>
      </c>
      <c r="D34" s="22" t="s">
        <v>3</v>
      </c>
      <c r="E34" s="21" t="s">
        <v>86</v>
      </c>
      <c r="F34" s="21" t="s">
        <v>74</v>
      </c>
      <c r="G34" s="10" t="s">
        <v>1185</v>
      </c>
      <c r="H34" s="9" t="s">
        <v>17</v>
      </c>
    </row>
    <row r="35" spans="2:8" ht="43.2" x14ac:dyDescent="0.3">
      <c r="B35" s="18" t="str">
        <f>IFERROR(_xlfn.XLOOKUP(D35,'Historias de Usuario'!C:C,'Historias de Usuario'!B:B, "Selecciona una historia"), "")</f>
        <v>Administración Central SIGVE</v>
      </c>
      <c r="C35" s="10" t="str">
        <f>IFERROR(_xlfn.XLOOKUP(D35,'Historias de Usuario'!C:C,'Historias de Usuario'!D:D, "Selecciona una historia"), "")</f>
        <v>Como Admin SIGVE quiero visualizar un dashboard con estadísticas globales del sistema para tener una visión completa de talleres, cuarteles y vehículos</v>
      </c>
      <c r="D35" s="9" t="s">
        <v>88</v>
      </c>
      <c r="E35" s="21" t="s">
        <v>91</v>
      </c>
      <c r="F35" s="21" t="s">
        <v>90</v>
      </c>
      <c r="G35" s="10" t="s">
        <v>1189</v>
      </c>
      <c r="H35" s="9" t="s">
        <v>17</v>
      </c>
    </row>
    <row r="36" spans="2:8" ht="43.2" x14ac:dyDescent="0.3">
      <c r="B36" s="20" t="str">
        <f>IFERROR(_xlfn.XLOOKUP(D36,'Historias de Usuario'!C:C,'Historias de Usuario'!B:B, "Selecciona una historia"), "")</f>
        <v>Administración Central SIGVE</v>
      </c>
      <c r="C36" s="21" t="str">
        <f>IFERROR(_xlfn.XLOOKUP(D36,'Historias de Usuario'!C:C,'Historias de Usuario'!D:D, "Selecciona una historia"), "")</f>
        <v>Como Admin SIGVE quiero visualizar un dashboard con estadísticas globales del sistema para tener una visión completa de talleres, cuarteles y vehículos</v>
      </c>
      <c r="D36" s="22" t="s">
        <v>88</v>
      </c>
      <c r="E36" s="21" t="s">
        <v>108</v>
      </c>
      <c r="F36" s="21" t="s">
        <v>92</v>
      </c>
      <c r="G36" s="10" t="s">
        <v>1189</v>
      </c>
      <c r="H36" s="22" t="s">
        <v>17</v>
      </c>
    </row>
    <row r="37" spans="2:8" ht="43.2" x14ac:dyDescent="0.3">
      <c r="B37" s="20" t="str">
        <f>IFERROR(_xlfn.XLOOKUP(D37,'Historias de Usuario'!C:C,'Historias de Usuario'!B:B, "Selecciona una historia"), "")</f>
        <v>Administración Central SIGVE</v>
      </c>
      <c r="C37" s="21" t="str">
        <f>IFERROR(_xlfn.XLOOKUP(D37,'Historias de Usuario'!C:C,'Historias de Usuario'!D:D, "Selecciona una historia"), "")</f>
        <v>Como Admin SIGVE quiero visualizar un dashboard con estadísticas globales del sistema para tener una visión completa de talleres, cuarteles y vehículos</v>
      </c>
      <c r="D37" s="9" t="s">
        <v>88</v>
      </c>
      <c r="E37" s="21" t="s">
        <v>109</v>
      </c>
      <c r="F37" s="21" t="s">
        <v>93</v>
      </c>
      <c r="G37" s="10" t="s">
        <v>1189</v>
      </c>
      <c r="H37" s="22" t="s">
        <v>17</v>
      </c>
    </row>
    <row r="38" spans="2:8" ht="43.2" x14ac:dyDescent="0.3">
      <c r="B38" s="20" t="str">
        <f>IFERROR(_xlfn.XLOOKUP(D38,'Historias de Usuario'!C:C,'Historias de Usuario'!B:B, "Selecciona una historia"), "")</f>
        <v>Administración Central SIGVE</v>
      </c>
      <c r="C38" s="21" t="str">
        <f>IFERROR(_xlfn.XLOOKUP(D38,'Historias de Usuario'!C:C,'Historias de Usuario'!D:D, "Selecciona una historia"), "")</f>
        <v>Como Admin SIGVE quiero visualizar un dashboard con estadísticas globales del sistema para tener una visión completa de talleres, cuarteles y vehículos</v>
      </c>
      <c r="D38" s="22" t="s">
        <v>88</v>
      </c>
      <c r="E38" s="21" t="s">
        <v>110</v>
      </c>
      <c r="F38" s="21" t="s">
        <v>94</v>
      </c>
      <c r="G38" s="10" t="s">
        <v>1189</v>
      </c>
      <c r="H38" s="22" t="s">
        <v>17</v>
      </c>
    </row>
    <row r="39" spans="2:8" ht="43.2" x14ac:dyDescent="0.3">
      <c r="B39" s="20" t="str">
        <f>IFERROR(_xlfn.XLOOKUP(D39,'Historias de Usuario'!C:C,'Historias de Usuario'!B:B, "Selecciona una historia"), "")</f>
        <v>Administración Central SIGVE</v>
      </c>
      <c r="C39" s="21" t="str">
        <f>IFERROR(_xlfn.XLOOKUP(D39,'Historias de Usuario'!C:C,'Historias de Usuario'!D:D, "Selecciona una historia"), "")</f>
        <v>Como Admin SIGVE quiero visualizar un dashboard con estadísticas globales del sistema para tener una visión completa de talleres, cuarteles y vehículos</v>
      </c>
      <c r="D39" s="9" t="s">
        <v>88</v>
      </c>
      <c r="E39" s="21" t="s">
        <v>111</v>
      </c>
      <c r="F39" s="21" t="s">
        <v>95</v>
      </c>
      <c r="G39" s="10" t="s">
        <v>1189</v>
      </c>
      <c r="H39" s="22" t="s">
        <v>17</v>
      </c>
    </row>
    <row r="40" spans="2:8" ht="43.2" x14ac:dyDescent="0.3">
      <c r="B40" s="20" t="str">
        <f>IFERROR(_xlfn.XLOOKUP(D40,'Historias de Usuario'!C:C,'Historias de Usuario'!B:B, "Selecciona una historia"), "")</f>
        <v>Administración Central SIGVE</v>
      </c>
      <c r="C40" s="21" t="str">
        <f>IFERROR(_xlfn.XLOOKUP(D40,'Historias de Usuario'!C:C,'Historias de Usuario'!D:D, "Selecciona una historia"), "")</f>
        <v>Como Admin SIGVE quiero visualizar un dashboard con estadísticas globales del sistema para tener una visión completa de talleres, cuarteles y vehículos</v>
      </c>
      <c r="D40" s="22" t="s">
        <v>88</v>
      </c>
      <c r="E40" s="21" t="s">
        <v>112</v>
      </c>
      <c r="F40" s="21" t="s">
        <v>96</v>
      </c>
      <c r="G40" s="10" t="s">
        <v>1189</v>
      </c>
      <c r="H40" s="22" t="s">
        <v>17</v>
      </c>
    </row>
    <row r="41" spans="2:8" ht="43.2" x14ac:dyDescent="0.3">
      <c r="B41" s="20" t="str">
        <f>IFERROR(_xlfn.XLOOKUP(D41,'Historias de Usuario'!C:C,'Historias de Usuario'!B:B, "Selecciona una historia"), "")</f>
        <v>Administración Central SIGVE</v>
      </c>
      <c r="C41" s="21" t="str">
        <f>IFERROR(_xlfn.XLOOKUP(D41,'Historias de Usuario'!C:C,'Historias de Usuario'!D:D, "Selecciona una historia"), "")</f>
        <v>Como Admin SIGVE quiero visualizar un dashboard con estadísticas globales del sistema para tener una visión completa de talleres, cuarteles y vehículos</v>
      </c>
      <c r="D41" s="9" t="s">
        <v>88</v>
      </c>
      <c r="E41" s="21" t="s">
        <v>113</v>
      </c>
      <c r="F41" s="21" t="s">
        <v>97</v>
      </c>
      <c r="G41" s="10" t="s">
        <v>1189</v>
      </c>
      <c r="H41" s="22" t="s">
        <v>17</v>
      </c>
    </row>
    <row r="42" spans="2:8" ht="43.2" x14ac:dyDescent="0.3">
      <c r="B42" s="20" t="str">
        <f>IFERROR(_xlfn.XLOOKUP(D42,'Historias de Usuario'!C:C,'Historias de Usuario'!B:B, "Selecciona una historia"), "")</f>
        <v>Administración Central SIGVE</v>
      </c>
      <c r="C42" s="21" t="str">
        <f>IFERROR(_xlfn.XLOOKUP(D42,'Historias de Usuario'!C:C,'Historias de Usuario'!D:D, "Selecciona una historia"), "")</f>
        <v>Como Admin SIGVE quiero visualizar un dashboard con estadísticas globales del sistema para tener una visión completa de talleres, cuarteles y vehículos</v>
      </c>
      <c r="D42" s="22" t="s">
        <v>88</v>
      </c>
      <c r="E42" s="21" t="s">
        <v>114</v>
      </c>
      <c r="F42" s="21" t="s">
        <v>99</v>
      </c>
      <c r="G42" s="10" t="s">
        <v>1189</v>
      </c>
      <c r="H42" s="22" t="s">
        <v>17</v>
      </c>
    </row>
    <row r="43" spans="2:8" ht="43.2" x14ac:dyDescent="0.3">
      <c r="B43" s="18" t="str">
        <f>IFERROR(_xlfn.XLOOKUP(D43,'Historias de Usuario'!C:C,'Historias de Usuario'!B:B, "Selecciona una historia"), "")</f>
        <v>Administración Central SIGVE</v>
      </c>
      <c r="C43" s="10" t="str">
        <f>IFERROR(_xlfn.XLOOKUP(D43,'Historias de Usuario'!C:C,'Historias de Usuario'!D:D, "Selecciona una historia"), "")</f>
        <v>Como Admin SIGVE quiero visualizar un dashboard con estadísticas globales del sistema para tener una visión completa de talleres, cuarteles y vehículos</v>
      </c>
      <c r="D43" s="9" t="s">
        <v>88</v>
      </c>
      <c r="E43" s="21" t="s">
        <v>115</v>
      </c>
      <c r="F43" s="10" t="s">
        <v>128</v>
      </c>
      <c r="G43" s="10" t="s">
        <v>1189</v>
      </c>
      <c r="H43" s="22" t="s">
        <v>17</v>
      </c>
    </row>
    <row r="44" spans="2:8" ht="43.2" x14ac:dyDescent="0.3">
      <c r="B44" s="20" t="str">
        <f>IFERROR(_xlfn.XLOOKUP(D44,'Historias de Usuario'!C:C,'Historias de Usuario'!B:B, "Selecciona una historia"), "")</f>
        <v>Administración Central SIGVE</v>
      </c>
      <c r="C44" s="21" t="str">
        <f>IFERROR(_xlfn.XLOOKUP(D44,'Historias de Usuario'!C:C,'Historias de Usuario'!D:D, "Selecciona una historia"), "")</f>
        <v>Como Admin SIGVE quiero visualizar un dashboard con estadísticas globales del sistema para tener una visión completa de talleres, cuarteles y vehículos</v>
      </c>
      <c r="D44" s="22" t="s">
        <v>88</v>
      </c>
      <c r="E44" s="21" t="s">
        <v>116</v>
      </c>
      <c r="F44" s="21" t="s">
        <v>100</v>
      </c>
      <c r="G44" s="10" t="s">
        <v>1189</v>
      </c>
      <c r="H44" s="22" t="s">
        <v>17</v>
      </c>
    </row>
    <row r="45" spans="2:8" ht="43.2" x14ac:dyDescent="0.3">
      <c r="B45" s="18" t="str">
        <f>IFERROR(_xlfn.XLOOKUP(D45,'Historias de Usuario'!C:C,'Historias de Usuario'!B:B, "Selecciona una historia"), "")</f>
        <v>Administración Central SIGVE</v>
      </c>
      <c r="C45" s="10" t="str">
        <f>IFERROR(_xlfn.XLOOKUP(D45,'Historias de Usuario'!C:C,'Historias de Usuario'!D:D, "Selecciona una historia"), "")</f>
        <v>Como Admin SIGVE quiero visualizar un dashboard con estadísticas globales del sistema para tener una visión completa de talleres, cuarteles y vehículos</v>
      </c>
      <c r="D45" s="9" t="s">
        <v>88</v>
      </c>
      <c r="E45" s="21" t="s">
        <v>117</v>
      </c>
      <c r="F45" s="10" t="s">
        <v>129</v>
      </c>
      <c r="G45" s="10" t="s">
        <v>1189</v>
      </c>
      <c r="H45" s="22" t="s">
        <v>17</v>
      </c>
    </row>
    <row r="46" spans="2:8" ht="43.2" x14ac:dyDescent="0.3">
      <c r="B46" s="20" t="str">
        <f>IFERROR(_xlfn.XLOOKUP(D46,'Historias de Usuario'!C:C,'Historias de Usuario'!B:B, "Selecciona una historia"), "")</f>
        <v>Administración Central SIGVE</v>
      </c>
      <c r="C46" s="21" t="str">
        <f>IFERROR(_xlfn.XLOOKUP(D46,'Historias de Usuario'!C:C,'Historias de Usuario'!D:D, "Selecciona una historia"), "")</f>
        <v>Como Admin SIGVE quiero visualizar un dashboard con estadísticas globales del sistema para tener una visión completa de talleres, cuarteles y vehículos</v>
      </c>
      <c r="D46" s="9" t="s">
        <v>88</v>
      </c>
      <c r="E46" s="21" t="s">
        <v>118</v>
      </c>
      <c r="F46" s="21" t="s">
        <v>101</v>
      </c>
      <c r="G46" s="10" t="s">
        <v>1189</v>
      </c>
      <c r="H46" s="22" t="s">
        <v>17</v>
      </c>
    </row>
    <row r="47" spans="2:8" ht="43.2" x14ac:dyDescent="0.3">
      <c r="B47" s="18" t="str">
        <f>IFERROR(_xlfn.XLOOKUP(D47,'Historias de Usuario'!C:C,'Historias de Usuario'!B:B, "Selecciona una historia"), "")</f>
        <v>Administración Central SIGVE</v>
      </c>
      <c r="C47" s="10" t="str">
        <f>IFERROR(_xlfn.XLOOKUP(D47,'Historias de Usuario'!C:C,'Historias de Usuario'!D:D, "Selecciona una historia"), "")</f>
        <v>Como Admin SIGVE quiero visualizar un dashboard con estadísticas globales del sistema para tener una visión completa de talleres, cuarteles y vehículos</v>
      </c>
      <c r="D47" s="9" t="s">
        <v>88</v>
      </c>
      <c r="E47" s="21" t="s">
        <v>119</v>
      </c>
      <c r="F47" s="10" t="s">
        <v>131</v>
      </c>
      <c r="G47" s="10" t="s">
        <v>1189</v>
      </c>
      <c r="H47" s="22" t="s">
        <v>17</v>
      </c>
    </row>
    <row r="48" spans="2:8" ht="43.2" x14ac:dyDescent="0.3">
      <c r="B48" s="20" t="str">
        <f>IFERROR(_xlfn.XLOOKUP(D48,'Historias de Usuario'!C:C,'Historias de Usuario'!B:B, "Selecciona una historia"), "")</f>
        <v>Administración Central SIGVE</v>
      </c>
      <c r="C48" s="21" t="str">
        <f>IFERROR(_xlfn.XLOOKUP(D48,'Historias de Usuario'!C:C,'Historias de Usuario'!D:D, "Selecciona una historia"), "")</f>
        <v>Como Admin SIGVE quiero visualizar un dashboard con estadísticas globales del sistema para tener una visión completa de talleres, cuarteles y vehículos</v>
      </c>
      <c r="D48" s="22" t="s">
        <v>88</v>
      </c>
      <c r="E48" s="21" t="s">
        <v>120</v>
      </c>
      <c r="F48" s="21" t="s">
        <v>102</v>
      </c>
      <c r="G48" s="10" t="s">
        <v>1189</v>
      </c>
      <c r="H48" s="22" t="s">
        <v>17</v>
      </c>
    </row>
    <row r="49" spans="2:8" ht="43.2" x14ac:dyDescent="0.3">
      <c r="B49" s="20" t="str">
        <f>IFERROR(_xlfn.XLOOKUP(D49,'Historias de Usuario'!C:C,'Historias de Usuario'!B:B, "Selecciona una historia"), "")</f>
        <v>Administración Central SIGVE</v>
      </c>
      <c r="C49" s="21" t="str">
        <f>IFERROR(_xlfn.XLOOKUP(D49,'Historias de Usuario'!C:C,'Historias de Usuario'!D:D, "Selecciona una historia"), "")</f>
        <v>Como Admin SIGVE quiero visualizar un dashboard con estadísticas globales del sistema para tener una visión completa de talleres, cuarteles y vehículos</v>
      </c>
      <c r="D49" s="9" t="s">
        <v>88</v>
      </c>
      <c r="E49" s="21" t="s">
        <v>121</v>
      </c>
      <c r="F49" s="21" t="s">
        <v>103</v>
      </c>
      <c r="G49" s="10" t="s">
        <v>1189</v>
      </c>
      <c r="H49" s="22" t="s">
        <v>17</v>
      </c>
    </row>
    <row r="50" spans="2:8" ht="43.2" x14ac:dyDescent="0.3">
      <c r="B50" s="20" t="str">
        <f>IFERROR(_xlfn.XLOOKUP(D50,'Historias de Usuario'!C:C,'Historias de Usuario'!B:B, "Selecciona una historia"), "")</f>
        <v>Administración Central SIGVE</v>
      </c>
      <c r="C50" s="21" t="str">
        <f>IFERROR(_xlfn.XLOOKUP(D50,'Historias de Usuario'!C:C,'Historias de Usuario'!D:D, "Selecciona una historia"), "")</f>
        <v>Como Admin SIGVE quiero visualizar un dashboard con estadísticas globales del sistema para tener una visión completa de talleres, cuarteles y vehículos</v>
      </c>
      <c r="D50" s="22" t="s">
        <v>88</v>
      </c>
      <c r="E50" s="21" t="s">
        <v>122</v>
      </c>
      <c r="F50" s="21" t="s">
        <v>104</v>
      </c>
      <c r="G50" s="10" t="s">
        <v>1189</v>
      </c>
      <c r="H50" s="22" t="s">
        <v>17</v>
      </c>
    </row>
    <row r="51" spans="2:8" ht="43.2" x14ac:dyDescent="0.3">
      <c r="B51" s="20" t="str">
        <f>IFERROR(_xlfn.XLOOKUP(D51,'Historias de Usuario'!C:C,'Historias de Usuario'!B:B, "Selecciona una historia"), "")</f>
        <v>Administración Central SIGVE</v>
      </c>
      <c r="C51" s="21" t="str">
        <f>IFERROR(_xlfn.XLOOKUP(D51,'Historias de Usuario'!C:C,'Historias de Usuario'!D:D, "Selecciona una historia"), "")</f>
        <v>Como Admin SIGVE quiero visualizar un dashboard con estadísticas globales del sistema para tener una visión completa de talleres, cuarteles y vehículos</v>
      </c>
      <c r="D51" s="22" t="s">
        <v>88</v>
      </c>
      <c r="E51" s="21" t="s">
        <v>125</v>
      </c>
      <c r="F51" s="21" t="s">
        <v>105</v>
      </c>
      <c r="G51" s="10" t="s">
        <v>1189</v>
      </c>
      <c r="H51" s="22" t="s">
        <v>17</v>
      </c>
    </row>
    <row r="52" spans="2:8" ht="43.2" x14ac:dyDescent="0.3">
      <c r="B52" s="20" t="str">
        <f>IFERROR(_xlfn.XLOOKUP(D52,'Historias de Usuario'!C:C,'Historias de Usuario'!B:B, "Selecciona una historia"), "")</f>
        <v>Administración Central SIGVE</v>
      </c>
      <c r="C52" s="21" t="str">
        <f>IFERROR(_xlfn.XLOOKUP(D52,'Historias de Usuario'!C:C,'Historias de Usuario'!D:D, "Selecciona una historia"), "")</f>
        <v>Como Admin SIGVE quiero visualizar un dashboard con estadísticas globales del sistema para tener una visión completa de talleres, cuarteles y vehículos</v>
      </c>
      <c r="D52" s="9" t="s">
        <v>88</v>
      </c>
      <c r="E52" s="21" t="s">
        <v>127</v>
      </c>
      <c r="F52" s="21" t="s">
        <v>106</v>
      </c>
      <c r="G52" s="10" t="s">
        <v>1189</v>
      </c>
      <c r="H52" s="22" t="s">
        <v>17</v>
      </c>
    </row>
    <row r="53" spans="2:8" ht="43.2" x14ac:dyDescent="0.3">
      <c r="B53" s="20" t="str">
        <f>IFERROR(_xlfn.XLOOKUP(D53,'Historias de Usuario'!C:C,'Historias de Usuario'!B:B, "Selecciona una historia"), "")</f>
        <v>Administración Central SIGVE</v>
      </c>
      <c r="C53" s="21" t="str">
        <f>IFERROR(_xlfn.XLOOKUP(D53,'Historias de Usuario'!C:C,'Historias de Usuario'!D:D, "Selecciona una historia"), "")</f>
        <v>Como Admin SIGVE quiero visualizar un dashboard con estadísticas globales del sistema para tener una visión completa de talleres, cuarteles y vehículos</v>
      </c>
      <c r="D53" s="22" t="s">
        <v>88</v>
      </c>
      <c r="E53" s="21" t="s">
        <v>130</v>
      </c>
      <c r="F53" s="21" t="s">
        <v>107</v>
      </c>
      <c r="G53" s="10" t="s">
        <v>1189</v>
      </c>
      <c r="H53" s="22" t="s">
        <v>17</v>
      </c>
    </row>
    <row r="54" spans="2:8" ht="30" x14ac:dyDescent="0.3">
      <c r="B54" s="18" t="str">
        <f>IFERROR(_xlfn.XLOOKUP(D54,'Historias de Usuario'!C:C,'Historias de Usuario'!B:B, "Selecciona una historia"), "")</f>
        <v>Administración Central SIGVE</v>
      </c>
      <c r="C54" s="10" t="str">
        <f>IFERROR(_xlfn.XLOOKUP(D54,'Historias de Usuario'!C:C,'Historias de Usuario'!D:D, "Selecciona una historia"), "")</f>
        <v>Como Admin SIGVE quiero crear un nuevo taller para amplicar la red de mantenimiento</v>
      </c>
      <c r="D54" s="9" t="s">
        <v>123</v>
      </c>
      <c r="E54" s="21" t="s">
        <v>132</v>
      </c>
      <c r="F54" s="10" t="s">
        <v>147</v>
      </c>
      <c r="G54" s="10" t="s">
        <v>1189</v>
      </c>
      <c r="H54" s="22" t="s">
        <v>17</v>
      </c>
    </row>
    <row r="55" spans="2:8" ht="30" x14ac:dyDescent="0.3">
      <c r="B55" s="18" t="str">
        <f>IFERROR(_xlfn.XLOOKUP(D55,'Historias de Usuario'!C:C,'Historias de Usuario'!B:B, "Selecciona una historia"), "")</f>
        <v>Administración Central SIGVE</v>
      </c>
      <c r="C55" s="10" t="str">
        <f>IFERROR(_xlfn.XLOOKUP(D55,'Historias de Usuario'!C:C,'Historias de Usuario'!D:D, "Selecciona una historia"), "")</f>
        <v>Como Admin SIGVE quiero crear un nuevo taller para amplicar la red de mantenimiento</v>
      </c>
      <c r="D55" s="9" t="s">
        <v>123</v>
      </c>
      <c r="E55" s="21" t="s">
        <v>133</v>
      </c>
      <c r="F55" s="10" t="s">
        <v>148</v>
      </c>
      <c r="G55" s="10" t="s">
        <v>1189</v>
      </c>
      <c r="H55" s="22" t="s">
        <v>17</v>
      </c>
    </row>
    <row r="56" spans="2:8" ht="30" x14ac:dyDescent="0.3">
      <c r="B56" s="18" t="str">
        <f>IFERROR(_xlfn.XLOOKUP(D56,'Historias de Usuario'!C:C,'Historias de Usuario'!B:B, "Selecciona una historia"), "")</f>
        <v>Administración Central SIGVE</v>
      </c>
      <c r="C56" s="10" t="str">
        <f>IFERROR(_xlfn.XLOOKUP(D56,'Historias de Usuario'!C:C,'Historias de Usuario'!D:D, "Selecciona una historia"), "")</f>
        <v>Como Admin SIGVE quiero crear un nuevo taller para amplicar la red de mantenimiento</v>
      </c>
      <c r="D56" s="9" t="s">
        <v>123</v>
      </c>
      <c r="E56" s="21" t="s">
        <v>138</v>
      </c>
      <c r="F56" s="10" t="s">
        <v>150</v>
      </c>
      <c r="G56" s="10" t="s">
        <v>1189</v>
      </c>
      <c r="H56" s="22" t="s">
        <v>17</v>
      </c>
    </row>
    <row r="57" spans="2:8" ht="43.2" x14ac:dyDescent="0.3">
      <c r="B57" s="18" t="str">
        <f>IFERROR(_xlfn.XLOOKUP(D57,'Historias de Usuario'!C:C,'Historias de Usuario'!B:B, "Selecciona una historia"), "")</f>
        <v>Administración Central SIGVE</v>
      </c>
      <c r="C57" s="10" t="str">
        <f>IFERROR(_xlfn.XLOOKUP(D57,'Historias de Usuario'!C:C,'Historias de Usuario'!D:D, "Selecciona una historia"), "")</f>
        <v>Como Admin SIGVE quiero crear un nuevo taller para amplicar la red de mantenimiento</v>
      </c>
      <c r="D57" s="9" t="s">
        <v>123</v>
      </c>
      <c r="E57" s="21" t="s">
        <v>139</v>
      </c>
      <c r="F57" s="10" t="s">
        <v>149</v>
      </c>
      <c r="G57" s="10" t="s">
        <v>1189</v>
      </c>
      <c r="H57" s="22" t="s">
        <v>17</v>
      </c>
    </row>
    <row r="58" spans="2:8" ht="30" x14ac:dyDescent="0.3">
      <c r="B58" s="18" t="str">
        <f>IFERROR(_xlfn.XLOOKUP(D58,'Historias de Usuario'!C:C,'Historias de Usuario'!B:B, "Selecciona una historia"), "")</f>
        <v>Administración Central SIGVE</v>
      </c>
      <c r="C58" s="10" t="str">
        <f>IFERROR(_xlfn.XLOOKUP(D58,'Historias de Usuario'!C:C,'Historias de Usuario'!D:D, "Selecciona una historia"), "")</f>
        <v>Como Admin SIGVE quiero crear un nuevo taller para amplicar la red de mantenimiento</v>
      </c>
      <c r="D58" s="9" t="s">
        <v>123</v>
      </c>
      <c r="E58" s="21" t="s">
        <v>140</v>
      </c>
      <c r="F58" s="10" t="s">
        <v>152</v>
      </c>
      <c r="G58" s="10" t="s">
        <v>1189</v>
      </c>
      <c r="H58" s="22" t="s">
        <v>17</v>
      </c>
    </row>
    <row r="59" spans="2:8" ht="30" x14ac:dyDescent="0.3">
      <c r="B59" s="18" t="str">
        <f>IFERROR(_xlfn.XLOOKUP(D59,'Historias de Usuario'!C:C,'Historias de Usuario'!B:B, "Selecciona una historia"), "")</f>
        <v>Administración Central SIGVE</v>
      </c>
      <c r="C59" s="10" t="str">
        <f>IFERROR(_xlfn.XLOOKUP(D59,'Historias de Usuario'!C:C,'Historias de Usuario'!D:D, "Selecciona una historia"), "")</f>
        <v>Como Admin SIGVE quiero crear un nuevo taller para amplicar la red de mantenimiento</v>
      </c>
      <c r="D59" s="9" t="s">
        <v>123</v>
      </c>
      <c r="E59" s="21" t="s">
        <v>141</v>
      </c>
      <c r="F59" s="10" t="s">
        <v>153</v>
      </c>
      <c r="G59" s="10" t="s">
        <v>1189</v>
      </c>
      <c r="H59" s="9" t="s">
        <v>17</v>
      </c>
    </row>
    <row r="60" spans="2:8" ht="30" x14ac:dyDescent="0.3">
      <c r="B60" s="18" t="str">
        <f>IFERROR(_xlfn.XLOOKUP(D60,'Historias de Usuario'!C:C,'Historias de Usuario'!B:B, "Selecciona una historia"), "")</f>
        <v>Administración Central SIGVE</v>
      </c>
      <c r="C60" s="10" t="str">
        <f>IFERROR(_xlfn.XLOOKUP(D60,'Historias de Usuario'!C:C,'Historias de Usuario'!D:D, "Selecciona una historia"), "")</f>
        <v>Como Admin SIGVE quiero crear un nuevo taller para amplicar la red de mantenimiento</v>
      </c>
      <c r="D60" s="9" t="s">
        <v>123</v>
      </c>
      <c r="E60" s="21" t="s">
        <v>157</v>
      </c>
      <c r="F60" s="10" t="s">
        <v>154</v>
      </c>
      <c r="G60" s="10" t="s">
        <v>1189</v>
      </c>
      <c r="H60" s="9" t="s">
        <v>17</v>
      </c>
    </row>
    <row r="61" spans="2:8" ht="30" x14ac:dyDescent="0.3">
      <c r="B61" s="18" t="str">
        <f>IFERROR(_xlfn.XLOOKUP(D61,'Historias de Usuario'!C:C,'Historias de Usuario'!B:B, "Selecciona una historia"), "")</f>
        <v>Administración Central SIGVE</v>
      </c>
      <c r="C61" s="10" t="str">
        <f>IFERROR(_xlfn.XLOOKUP(D61,'Historias de Usuario'!C:C,'Historias de Usuario'!D:D, "Selecciona una historia"), "")</f>
        <v>Como Admin SIGVE quiero crear un nuevo taller para amplicar la red de mantenimiento</v>
      </c>
      <c r="D61" s="9" t="s">
        <v>123</v>
      </c>
      <c r="E61" s="21" t="s">
        <v>158</v>
      </c>
      <c r="F61" s="10" t="s">
        <v>155</v>
      </c>
      <c r="G61" s="10" t="s">
        <v>1189</v>
      </c>
      <c r="H61" s="9" t="s">
        <v>17</v>
      </c>
    </row>
    <row r="62" spans="2:8" ht="30" x14ac:dyDescent="0.3">
      <c r="B62" s="18" t="str">
        <f>IFERROR(_xlfn.XLOOKUP(D62,'Historias de Usuario'!C:C,'Historias de Usuario'!B:B, "Selecciona una historia"), "")</f>
        <v>Administración Central SIGVE</v>
      </c>
      <c r="C62" s="10" t="str">
        <f>IFERROR(_xlfn.XLOOKUP(D62,'Historias de Usuario'!C:C,'Historias de Usuario'!D:D, "Selecciona una historia"), "")</f>
        <v>Como Admin SIGVE quiero crear un nuevo taller para amplicar la red de mantenimiento</v>
      </c>
      <c r="D62" s="9" t="s">
        <v>123</v>
      </c>
      <c r="E62" s="21" t="s">
        <v>159</v>
      </c>
      <c r="F62" s="10" t="s">
        <v>156</v>
      </c>
      <c r="G62" s="10" t="s">
        <v>1189</v>
      </c>
      <c r="H62" s="9" t="s">
        <v>17</v>
      </c>
    </row>
    <row r="63" spans="2:8" ht="30" x14ac:dyDescent="0.3">
      <c r="B63" s="18" t="str">
        <f>IFERROR(_xlfn.XLOOKUP(D63,'Historias de Usuario'!C:C,'Historias de Usuario'!B:B, "Selecciona una historia"), "")</f>
        <v>Administración Central SIGVE</v>
      </c>
      <c r="C63" s="10" t="str">
        <f>IFERROR(_xlfn.XLOOKUP(D63,'Historias de Usuario'!C:C,'Historias de Usuario'!D:D, "Selecciona una historia"), "")</f>
        <v>Como Admin SIGVE quiero gestionar el catálogo de talleres para mantener actualizada la red de mantenimiento</v>
      </c>
      <c r="D63" s="9" t="s">
        <v>142</v>
      </c>
      <c r="E63" s="21" t="s">
        <v>160</v>
      </c>
      <c r="F63" s="10" t="s">
        <v>126</v>
      </c>
      <c r="G63" s="10" t="s">
        <v>1189</v>
      </c>
      <c r="H63" s="22" t="s">
        <v>17</v>
      </c>
    </row>
    <row r="64" spans="2:8" ht="30" x14ac:dyDescent="0.3">
      <c r="B64" s="18" t="str">
        <f>IFERROR(_xlfn.XLOOKUP(D64,'Historias de Usuario'!C:C,'Historias de Usuario'!B:B, "Selecciona una historia"), "")</f>
        <v>Administración Central SIGVE</v>
      </c>
      <c r="C64" s="10" t="str">
        <f>IFERROR(_xlfn.XLOOKUP(D64,'Historias de Usuario'!C:C,'Historias de Usuario'!D:D, "Selecciona una historia"), "")</f>
        <v>Como Admin SIGVE quiero gestionar el catálogo de talleres para mantener actualizada la red de mantenimiento</v>
      </c>
      <c r="D64" s="22" t="s">
        <v>142</v>
      </c>
      <c r="E64" s="21" t="s">
        <v>161</v>
      </c>
      <c r="F64" s="10" t="s">
        <v>134</v>
      </c>
      <c r="G64" s="10" t="s">
        <v>1189</v>
      </c>
      <c r="H64" s="22" t="s">
        <v>17</v>
      </c>
    </row>
    <row r="65" spans="2:8" ht="30" x14ac:dyDescent="0.3">
      <c r="B65" s="18" t="str">
        <f>IFERROR(_xlfn.XLOOKUP(D65,'Historias de Usuario'!C:C,'Historias de Usuario'!B:B, "Selecciona una historia"), "")</f>
        <v>Administración Central SIGVE</v>
      </c>
      <c r="C65" s="10" t="str">
        <f>IFERROR(_xlfn.XLOOKUP(D65,'Historias de Usuario'!C:C,'Historias de Usuario'!D:D, "Selecciona una historia"), "")</f>
        <v>Como Admin SIGVE quiero gestionar el catálogo de talleres para mantener actualizada la red de mantenimiento</v>
      </c>
      <c r="D65" s="9" t="s">
        <v>142</v>
      </c>
      <c r="E65" s="21" t="s">
        <v>162</v>
      </c>
      <c r="F65" s="10" t="s">
        <v>135</v>
      </c>
      <c r="G65" s="10" t="s">
        <v>1189</v>
      </c>
      <c r="H65" s="22" t="s">
        <v>17</v>
      </c>
    </row>
    <row r="66" spans="2:8" ht="30" x14ac:dyDescent="0.3">
      <c r="B66" s="18" t="str">
        <f>IFERROR(_xlfn.XLOOKUP(D66,'Historias de Usuario'!C:C,'Historias de Usuario'!B:B, "Selecciona una historia"), "")</f>
        <v>Administración Central SIGVE</v>
      </c>
      <c r="C66" s="10" t="str">
        <f>IFERROR(_xlfn.XLOOKUP(D66,'Historias de Usuario'!C:C,'Historias de Usuario'!D:D, "Selecciona una historia"), "")</f>
        <v>Como Admin SIGVE quiero gestionar el catálogo de talleres para mantener actualizada la red de mantenimiento</v>
      </c>
      <c r="D66" s="22" t="s">
        <v>142</v>
      </c>
      <c r="E66" s="21" t="s">
        <v>163</v>
      </c>
      <c r="F66" s="10" t="s">
        <v>136</v>
      </c>
      <c r="G66" s="10" t="s">
        <v>1189</v>
      </c>
      <c r="H66" s="22" t="s">
        <v>17</v>
      </c>
    </row>
    <row r="67" spans="2:8" ht="30" x14ac:dyDescent="0.3">
      <c r="B67" s="18" t="str">
        <f>IFERROR(_xlfn.XLOOKUP(D67,'Historias de Usuario'!C:C,'Historias de Usuario'!B:B, "Selecciona una historia"), "")</f>
        <v>Administración Central SIGVE</v>
      </c>
      <c r="C67" s="10" t="str">
        <f>IFERROR(_xlfn.XLOOKUP(D67,'Historias de Usuario'!C:C,'Historias de Usuario'!D:D, "Selecciona una historia"), "")</f>
        <v>Como Admin SIGVE quiero gestionar el catálogo de talleres para mantener actualizada la red de mantenimiento</v>
      </c>
      <c r="D67" s="9" t="s">
        <v>142</v>
      </c>
      <c r="E67" s="21" t="s">
        <v>164</v>
      </c>
      <c r="F67" s="10" t="s">
        <v>137</v>
      </c>
      <c r="G67" s="10" t="s">
        <v>1189</v>
      </c>
      <c r="H67" s="22" t="s">
        <v>17</v>
      </c>
    </row>
    <row r="68" spans="2:8" ht="30" x14ac:dyDescent="0.3">
      <c r="B68" s="20" t="str">
        <f>IFERROR(_xlfn.XLOOKUP(D68,'Historias de Usuario'!C:C,'Historias de Usuario'!B:B, "Selecciona una historia"), "")</f>
        <v>Administración Central SIGVE</v>
      </c>
      <c r="C68" s="21" t="str">
        <f>IFERROR(_xlfn.XLOOKUP(D68,'Historias de Usuario'!C:C,'Historias de Usuario'!D:D, "Selecciona una historia"), "")</f>
        <v>Como Admin SIGVE quiero editar información de un taller para mantener los datos actualizados</v>
      </c>
      <c r="D68" s="22" t="s">
        <v>143</v>
      </c>
      <c r="E68" s="21" t="s">
        <v>165</v>
      </c>
      <c r="F68" s="21" t="s">
        <v>167</v>
      </c>
      <c r="G68" s="10" t="s">
        <v>1189</v>
      </c>
      <c r="H68" s="22" t="s">
        <v>17</v>
      </c>
    </row>
    <row r="69" spans="2:8" ht="30" x14ac:dyDescent="0.3">
      <c r="B69" s="20" t="str">
        <f>IFERROR(_xlfn.XLOOKUP(D69,'Historias de Usuario'!C:C,'Historias de Usuario'!B:B, "Selecciona una historia"), "")</f>
        <v>Administración Central SIGVE</v>
      </c>
      <c r="C69" s="21" t="str">
        <f>IFERROR(_xlfn.XLOOKUP(D69,'Historias de Usuario'!C:C,'Historias de Usuario'!D:D, "Selecciona una historia"), "")</f>
        <v>Como Admin SIGVE quiero editar información de un taller para mantener los datos actualizados</v>
      </c>
      <c r="D69" s="22" t="s">
        <v>143</v>
      </c>
      <c r="E69" s="21" t="s">
        <v>173</v>
      </c>
      <c r="F69" s="21" t="s">
        <v>168</v>
      </c>
      <c r="G69" s="10" t="s">
        <v>1189</v>
      </c>
      <c r="H69" s="22" t="s">
        <v>17</v>
      </c>
    </row>
    <row r="70" spans="2:8" ht="30" x14ac:dyDescent="0.3">
      <c r="B70" s="20" t="str">
        <f>IFERROR(_xlfn.XLOOKUP(D70,'Historias de Usuario'!C:C,'Historias de Usuario'!B:B, "Selecciona una historia"), "")</f>
        <v>Administración Central SIGVE</v>
      </c>
      <c r="C70" s="21" t="str">
        <f>IFERROR(_xlfn.XLOOKUP(D70,'Historias de Usuario'!C:C,'Historias de Usuario'!D:D, "Selecciona una historia"), "")</f>
        <v>Como Admin SIGVE quiero editar información de un taller para mantener los datos actualizados</v>
      </c>
      <c r="D70" s="22" t="s">
        <v>143</v>
      </c>
      <c r="E70" s="21" t="s">
        <v>174</v>
      </c>
      <c r="F70" s="21" t="s">
        <v>169</v>
      </c>
      <c r="G70" s="10" t="s">
        <v>1189</v>
      </c>
      <c r="H70" s="22" t="s">
        <v>17</v>
      </c>
    </row>
    <row r="71" spans="2:8" ht="30" x14ac:dyDescent="0.3">
      <c r="B71" s="20" t="str">
        <f>IFERROR(_xlfn.XLOOKUP(D71,'Historias de Usuario'!C:C,'Historias de Usuario'!B:B, "Selecciona una historia"), "")</f>
        <v>Administración Central SIGVE</v>
      </c>
      <c r="C71" s="21" t="str">
        <f>IFERROR(_xlfn.XLOOKUP(D71,'Historias de Usuario'!C:C,'Historias de Usuario'!D:D, "Selecciona una historia"), "")</f>
        <v>Como Admin SIGVE quiero editar información de un taller para mantener los datos actualizados</v>
      </c>
      <c r="D71" s="22" t="s">
        <v>143</v>
      </c>
      <c r="E71" s="21" t="s">
        <v>175</v>
      </c>
      <c r="F71" s="21" t="s">
        <v>170</v>
      </c>
      <c r="G71" s="10" t="s">
        <v>1189</v>
      </c>
      <c r="H71" s="22" t="s">
        <v>17</v>
      </c>
    </row>
    <row r="72" spans="2:8" ht="30" x14ac:dyDescent="0.3">
      <c r="B72" s="20" t="str">
        <f>IFERROR(_xlfn.XLOOKUP(D72,'Historias de Usuario'!C:C,'Historias de Usuario'!B:B, "Selecciona una historia"), "")</f>
        <v>Administración Central SIGVE</v>
      </c>
      <c r="C72" s="21" t="str">
        <f>IFERROR(_xlfn.XLOOKUP(D72,'Historias de Usuario'!C:C,'Historias de Usuario'!D:D, "Selecciona una historia"), "")</f>
        <v>Como Admin SIGVE quiero editar información de un taller para mantener los datos actualizados</v>
      </c>
      <c r="D72" s="22" t="s">
        <v>143</v>
      </c>
      <c r="E72" s="21" t="s">
        <v>176</v>
      </c>
      <c r="F72" s="21" t="s">
        <v>171</v>
      </c>
      <c r="G72" s="10" t="s">
        <v>1189</v>
      </c>
      <c r="H72" s="22" t="s">
        <v>17</v>
      </c>
    </row>
    <row r="73" spans="2:8" ht="30" x14ac:dyDescent="0.3">
      <c r="B73" s="20" t="str">
        <f>IFERROR(_xlfn.XLOOKUP(D73,'Historias de Usuario'!C:C,'Historias de Usuario'!B:B, "Selecciona una historia"), "")</f>
        <v>Administración Central SIGVE</v>
      </c>
      <c r="C73" s="21" t="str">
        <f>IFERROR(_xlfn.XLOOKUP(D73,'Historias de Usuario'!C:C,'Historias de Usuario'!D:D, "Selecciona una historia"), "")</f>
        <v>Como Admin SIGVE quiero editar información de un taller para mantener los datos actualizados</v>
      </c>
      <c r="D73" s="22" t="s">
        <v>143</v>
      </c>
      <c r="E73" s="21" t="s">
        <v>177</v>
      </c>
      <c r="F73" s="21" t="s">
        <v>172</v>
      </c>
      <c r="G73" s="10" t="s">
        <v>1189</v>
      </c>
      <c r="H73" s="22" t="s">
        <v>17</v>
      </c>
    </row>
    <row r="74" spans="2:8" ht="30" x14ac:dyDescent="0.3">
      <c r="B74" s="20" t="str">
        <f>IFERROR(_xlfn.XLOOKUP(D74,'Historias de Usuario'!C:C,'Historias de Usuario'!B:B, "Selecciona una historia"), "")</f>
        <v>Administración Central SIGVE</v>
      </c>
      <c r="C74" s="21" t="str">
        <f>IFERROR(_xlfn.XLOOKUP(D74,'Historias de Usuario'!C:C,'Historias de Usuario'!D:D, "Selecciona una historia"), "")</f>
        <v>Como Admin SIGVE quiero eliminar un taller para remover talleres que ya no operan</v>
      </c>
      <c r="D74" s="22" t="s">
        <v>144</v>
      </c>
      <c r="E74" s="21" t="s">
        <v>179</v>
      </c>
      <c r="F74" s="21" t="s">
        <v>181</v>
      </c>
      <c r="G74" s="10" t="s">
        <v>1189</v>
      </c>
      <c r="H74" s="22" t="s">
        <v>17</v>
      </c>
    </row>
    <row r="75" spans="2:8" ht="30" x14ac:dyDescent="0.3">
      <c r="B75" s="20" t="str">
        <f>IFERROR(_xlfn.XLOOKUP(D75,'Historias de Usuario'!C:C,'Historias de Usuario'!B:B, "Selecciona una historia"), "")</f>
        <v>Administración Central SIGVE</v>
      </c>
      <c r="C75" s="21" t="str">
        <f>IFERROR(_xlfn.XLOOKUP(D75,'Historias de Usuario'!C:C,'Historias de Usuario'!D:D, "Selecciona una historia"), "")</f>
        <v>Como Admin SIGVE quiero eliminar un taller para remover talleres que ya no operan</v>
      </c>
      <c r="D75" s="22" t="s">
        <v>144</v>
      </c>
      <c r="E75" s="21" t="s">
        <v>182</v>
      </c>
      <c r="F75" s="21" t="s">
        <v>183</v>
      </c>
      <c r="G75" s="10" t="s">
        <v>1189</v>
      </c>
      <c r="H75" s="22" t="s">
        <v>17</v>
      </c>
    </row>
    <row r="76" spans="2:8" ht="30" x14ac:dyDescent="0.3">
      <c r="B76" s="20" t="str">
        <f>IFERROR(_xlfn.XLOOKUP(D76,'Historias de Usuario'!C:C,'Historias de Usuario'!B:B, "Selecciona una historia"), "")</f>
        <v>Administración Central SIGVE</v>
      </c>
      <c r="C76" s="21" t="str">
        <f>IFERROR(_xlfn.XLOOKUP(D76,'Historias de Usuario'!C:C,'Historias de Usuario'!D:D, "Selecciona una historia"), "")</f>
        <v>Como Admin SIGVE quiero eliminar un taller para remover talleres que ya no operan</v>
      </c>
      <c r="D76" s="22" t="s">
        <v>144</v>
      </c>
      <c r="E76" s="21" t="s">
        <v>185</v>
      </c>
      <c r="F76" s="21" t="s">
        <v>184</v>
      </c>
      <c r="G76" s="10" t="s">
        <v>1189</v>
      </c>
      <c r="H76" s="22" t="s">
        <v>17</v>
      </c>
    </row>
    <row r="77" spans="2:8" ht="43.2" x14ac:dyDescent="0.3">
      <c r="B77" s="20" t="str">
        <f>IFERROR(_xlfn.XLOOKUP(D77,'Historias de Usuario'!C:C,'Historias de Usuario'!B:B, "Selecciona una historia"), "")</f>
        <v>Administración Central SIGVE</v>
      </c>
      <c r="C77" s="21" t="str">
        <f>IFERROR(_xlfn.XLOOKUP(D77,'Historias de Usuario'!C:C,'Historias de Usuario'!D:D, "Selecciona una historia"), "")</f>
        <v>Como Admin SIGVE quiero crear un nuevo cuartel para registrar nuevas estaciones de bomberos y ampliar la red de cuarteles</v>
      </c>
      <c r="D77" s="22" t="s">
        <v>145</v>
      </c>
      <c r="E77" s="21" t="s">
        <v>187</v>
      </c>
      <c r="F77" s="21" t="s">
        <v>188</v>
      </c>
      <c r="G77" s="10" t="s">
        <v>1191</v>
      </c>
      <c r="H77" s="22" t="s">
        <v>17</v>
      </c>
    </row>
    <row r="78" spans="2:8" ht="43.2" x14ac:dyDescent="0.3">
      <c r="B78" s="20" t="str">
        <f>IFERROR(_xlfn.XLOOKUP(D78,'Historias de Usuario'!C:C,'Historias de Usuario'!B:B, "Selecciona una historia"), "")</f>
        <v>Administración Central SIGVE</v>
      </c>
      <c r="C78" s="21" t="str">
        <f>IFERROR(_xlfn.XLOOKUP(D78,'Historias de Usuario'!C:C,'Historias de Usuario'!D:D, "Selecciona una historia"), "")</f>
        <v>Como Admin SIGVE quiero crear un nuevo cuartel para registrar nuevas estaciones de bomberos y ampliar la red de cuarteles</v>
      </c>
      <c r="D78" s="22" t="s">
        <v>145</v>
      </c>
      <c r="E78" s="21" t="s">
        <v>194</v>
      </c>
      <c r="F78" s="21" t="s">
        <v>189</v>
      </c>
      <c r="G78" s="10" t="s">
        <v>1191</v>
      </c>
      <c r="H78" s="22" t="s">
        <v>17</v>
      </c>
    </row>
    <row r="79" spans="2:8" ht="43.2" x14ac:dyDescent="0.3">
      <c r="B79" s="20" t="str">
        <f>IFERROR(_xlfn.XLOOKUP(D79,'Historias de Usuario'!C:C,'Historias de Usuario'!B:B, "Selecciona una historia"), "")</f>
        <v>Administración Central SIGVE</v>
      </c>
      <c r="C79" s="21" t="str">
        <f>IFERROR(_xlfn.XLOOKUP(D79,'Historias de Usuario'!C:C,'Historias de Usuario'!D:D, "Selecciona una historia"), "")</f>
        <v>Como Admin SIGVE quiero crear un nuevo cuartel para registrar nuevas estaciones de bomberos y ampliar la red de cuarteles</v>
      </c>
      <c r="D79" s="22" t="s">
        <v>145</v>
      </c>
      <c r="E79" s="21" t="s">
        <v>195</v>
      </c>
      <c r="F79" s="21" t="s">
        <v>191</v>
      </c>
      <c r="G79" s="10" t="s">
        <v>1191</v>
      </c>
      <c r="H79" s="22" t="s">
        <v>17</v>
      </c>
    </row>
    <row r="80" spans="2:8" ht="43.2" x14ac:dyDescent="0.3">
      <c r="B80" s="20" t="str">
        <f>IFERROR(_xlfn.XLOOKUP(D80,'Historias de Usuario'!C:C,'Historias de Usuario'!B:B, "Selecciona una historia"), "")</f>
        <v>Administración Central SIGVE</v>
      </c>
      <c r="C80" s="21" t="str">
        <f>IFERROR(_xlfn.XLOOKUP(D80,'Historias de Usuario'!C:C,'Historias de Usuario'!D:D, "Selecciona una historia"), "")</f>
        <v>Como Admin SIGVE quiero crear un nuevo cuartel para registrar nuevas estaciones de bomberos y ampliar la red de cuarteles</v>
      </c>
      <c r="D80" s="22" t="s">
        <v>145</v>
      </c>
      <c r="E80" s="21" t="s">
        <v>196</v>
      </c>
      <c r="F80" s="21" t="s">
        <v>190</v>
      </c>
      <c r="G80" s="10" t="s">
        <v>1191</v>
      </c>
      <c r="H80" s="22" t="s">
        <v>17</v>
      </c>
    </row>
    <row r="81" spans="2:8" ht="43.2" x14ac:dyDescent="0.3">
      <c r="B81" s="20" t="str">
        <f>IFERROR(_xlfn.XLOOKUP(D81,'Historias de Usuario'!C:C,'Historias de Usuario'!B:B, "Selecciona una historia"), "")</f>
        <v>Administración Central SIGVE</v>
      </c>
      <c r="C81" s="21" t="str">
        <f>IFERROR(_xlfn.XLOOKUP(D81,'Historias de Usuario'!C:C,'Historias de Usuario'!D:D, "Selecciona una historia"), "")</f>
        <v>Como Admin SIGVE quiero crear un nuevo cuartel para registrar nuevas estaciones de bomberos y ampliar la red de cuarteles</v>
      </c>
      <c r="D81" s="22" t="s">
        <v>145</v>
      </c>
      <c r="E81" s="21" t="s">
        <v>197</v>
      </c>
      <c r="F81" s="10" t="s">
        <v>149</v>
      </c>
      <c r="G81" s="10" t="s">
        <v>1191</v>
      </c>
      <c r="H81" s="22" t="s">
        <v>17</v>
      </c>
    </row>
    <row r="82" spans="2:8" ht="43.2" x14ac:dyDescent="0.3">
      <c r="B82" s="20" t="str">
        <f>IFERROR(_xlfn.XLOOKUP(D82,'Historias de Usuario'!C:C,'Historias de Usuario'!B:B, "Selecciona una historia"), "")</f>
        <v>Administración Central SIGVE</v>
      </c>
      <c r="C82" s="21" t="str">
        <f>IFERROR(_xlfn.XLOOKUP(D82,'Historias de Usuario'!C:C,'Historias de Usuario'!D:D, "Selecciona una historia"), "")</f>
        <v>Como Admin SIGVE quiero crear un nuevo cuartel para registrar nuevas estaciones de bomberos y ampliar la red de cuarteles</v>
      </c>
      <c r="D82" s="22" t="s">
        <v>145</v>
      </c>
      <c r="E82" s="21" t="s">
        <v>198</v>
      </c>
      <c r="F82" s="21" t="s">
        <v>154</v>
      </c>
      <c r="G82" s="10" t="s">
        <v>1191</v>
      </c>
      <c r="H82" s="22" t="s">
        <v>17</v>
      </c>
    </row>
    <row r="83" spans="2:8" ht="43.2" x14ac:dyDescent="0.3">
      <c r="B83" s="20" t="str">
        <f>IFERROR(_xlfn.XLOOKUP(D83,'Historias de Usuario'!C:C,'Historias de Usuario'!B:B, "Selecciona una historia"), "")</f>
        <v>Administración Central SIGVE</v>
      </c>
      <c r="C83" s="21" t="str">
        <f>IFERROR(_xlfn.XLOOKUP(D83,'Historias de Usuario'!C:C,'Historias de Usuario'!D:D, "Selecciona una historia"), "")</f>
        <v>Como Admin SIGVE quiero crear un nuevo cuartel para registrar nuevas estaciones de bomberos y ampliar la red de cuarteles</v>
      </c>
      <c r="D83" s="22" t="s">
        <v>145</v>
      </c>
      <c r="E83" s="21" t="s">
        <v>199</v>
      </c>
      <c r="F83" s="21" t="s">
        <v>193</v>
      </c>
      <c r="G83" s="10" t="s">
        <v>1191</v>
      </c>
      <c r="H83" s="22" t="s">
        <v>17</v>
      </c>
    </row>
    <row r="84" spans="2:8" ht="43.2" x14ac:dyDescent="0.3">
      <c r="B84" s="20" t="str">
        <f>IFERROR(_xlfn.XLOOKUP(D84,'Historias de Usuario'!C:C,'Historias de Usuario'!B:B, "Selecciona una historia"), "")</f>
        <v>Administración Central SIGVE</v>
      </c>
      <c r="C84" s="21" t="str">
        <f>IFERROR(_xlfn.XLOOKUP(D84,'Historias de Usuario'!C:C,'Historias de Usuario'!D:D, "Selecciona una historia"), "")</f>
        <v>Como Admin SIGVE quiero gestionar el catálogo de cuarteles de bomberos para mantener actualizada la red de cuarteles.</v>
      </c>
      <c r="D84" s="22" t="s">
        <v>200</v>
      </c>
      <c r="E84" s="21" t="s">
        <v>202</v>
      </c>
      <c r="F84" s="21" t="s">
        <v>203</v>
      </c>
      <c r="G84" s="10" t="s">
        <v>1191</v>
      </c>
      <c r="H84" s="22" t="s">
        <v>17</v>
      </c>
    </row>
    <row r="85" spans="2:8" ht="43.2" x14ac:dyDescent="0.3">
      <c r="B85" s="20" t="str">
        <f>IFERROR(_xlfn.XLOOKUP(D85,'Historias de Usuario'!C:C,'Historias de Usuario'!B:B, "Selecciona una historia"), "")</f>
        <v>Administración Central SIGVE</v>
      </c>
      <c r="C85" s="21" t="str">
        <f>IFERROR(_xlfn.XLOOKUP(D85,'Historias de Usuario'!C:C,'Historias de Usuario'!D:D, "Selecciona una historia"), "")</f>
        <v>Como Admin SIGVE quiero gestionar el catálogo de cuarteles de bomberos para mantener actualizada la red de cuarteles.</v>
      </c>
      <c r="D85" s="22" t="s">
        <v>200</v>
      </c>
      <c r="E85" s="21" t="s">
        <v>205</v>
      </c>
      <c r="F85" s="21" t="s">
        <v>204</v>
      </c>
      <c r="G85" s="10" t="s">
        <v>1191</v>
      </c>
      <c r="H85" s="22" t="s">
        <v>17</v>
      </c>
    </row>
    <row r="86" spans="2:8" ht="43.2" x14ac:dyDescent="0.3">
      <c r="B86" s="20" t="str">
        <f>IFERROR(_xlfn.XLOOKUP(D86,'Historias de Usuario'!C:C,'Historias de Usuario'!B:B, "Selecciona una historia"), "")</f>
        <v>Administración Central SIGVE</v>
      </c>
      <c r="C86" s="21" t="str">
        <f>IFERROR(_xlfn.XLOOKUP(D86,'Historias de Usuario'!C:C,'Historias de Usuario'!D:D, "Selecciona una historia"), "")</f>
        <v>Como Admin SIGVE quiero gestionar el catálogo de cuarteles de bomberos para mantener actualizada la red de cuarteles.</v>
      </c>
      <c r="D86" s="22" t="s">
        <v>200</v>
      </c>
      <c r="E86" s="21" t="s">
        <v>206</v>
      </c>
      <c r="F86" s="21" t="s">
        <v>230</v>
      </c>
      <c r="G86" s="10" t="s">
        <v>1191</v>
      </c>
      <c r="H86" s="22" t="s">
        <v>17</v>
      </c>
    </row>
    <row r="87" spans="2:8" ht="43.2" x14ac:dyDescent="0.3">
      <c r="B87" s="20" t="str">
        <f>IFERROR(_xlfn.XLOOKUP(D87,'Historias de Usuario'!C:C,'Historias de Usuario'!B:B, "Selecciona una historia"), "")</f>
        <v>Administración Central SIGVE</v>
      </c>
      <c r="C87" s="21" t="str">
        <f>IFERROR(_xlfn.XLOOKUP(D87,'Historias de Usuario'!C:C,'Historias de Usuario'!D:D, "Selecciona una historia"), "")</f>
        <v>Como Admin SIGVE quiero gestionar el catálogo de cuarteles de bomberos para mantener actualizada la red de cuarteles.</v>
      </c>
      <c r="D87" s="22" t="s">
        <v>200</v>
      </c>
      <c r="E87" s="21" t="s">
        <v>207</v>
      </c>
      <c r="F87" s="21" t="s">
        <v>136</v>
      </c>
      <c r="G87" s="10" t="s">
        <v>1191</v>
      </c>
      <c r="H87" s="22" t="s">
        <v>17</v>
      </c>
    </row>
    <row r="88" spans="2:8" ht="43.2" x14ac:dyDescent="0.3">
      <c r="B88" s="20" t="str">
        <f>IFERROR(_xlfn.XLOOKUP(D88,'Historias de Usuario'!C:C,'Historias de Usuario'!B:B, "Selecciona una historia"), "")</f>
        <v>Administración Central SIGVE</v>
      </c>
      <c r="C88" s="21" t="str">
        <f>IFERROR(_xlfn.XLOOKUP(D88,'Historias de Usuario'!C:C,'Historias de Usuario'!D:D, "Selecciona una historia"), "")</f>
        <v>Como Admin SIGVE quiero gestionar el catálogo de cuarteles de bomberos para mantener actualizada la red de cuarteles.</v>
      </c>
      <c r="D88" s="22" t="s">
        <v>200</v>
      </c>
      <c r="E88" s="21" t="s">
        <v>208</v>
      </c>
      <c r="F88" s="21" t="s">
        <v>229</v>
      </c>
      <c r="G88" s="10" t="s">
        <v>1191</v>
      </c>
      <c r="H88" s="22" t="s">
        <v>17</v>
      </c>
    </row>
    <row r="89" spans="2:8" ht="30" x14ac:dyDescent="0.3">
      <c r="B89" s="20" t="str">
        <f>IFERROR(_xlfn.XLOOKUP(D89,'Historias de Usuario'!C:C,'Historias de Usuario'!B:B, "Selecciona una historia"), "")</f>
        <v>Administración Central SIGVE</v>
      </c>
      <c r="C89" s="21" t="str">
        <f>IFERROR(_xlfn.XLOOKUP(D89,'Historias de Usuario'!C:C,'Historias de Usuario'!D:D, "Selecciona una historia"), "")</f>
        <v>Como Admin SIGVE quiero editar información de un cuartel para actualizar sus datos de contexto y ubicación</v>
      </c>
      <c r="D89" s="22" t="s">
        <v>210</v>
      </c>
      <c r="E89" s="21" t="s">
        <v>211</v>
      </c>
      <c r="F89" s="21" t="s">
        <v>212</v>
      </c>
      <c r="G89" s="10" t="s">
        <v>1191</v>
      </c>
      <c r="H89" s="22" t="s">
        <v>17</v>
      </c>
    </row>
    <row r="90" spans="2:8" ht="30" x14ac:dyDescent="0.3">
      <c r="B90" s="20" t="str">
        <f>IFERROR(_xlfn.XLOOKUP(D90,'Historias de Usuario'!C:C,'Historias de Usuario'!B:B, "Selecciona una historia"), "")</f>
        <v>Administración Central SIGVE</v>
      </c>
      <c r="C90" s="21" t="str">
        <f>IFERROR(_xlfn.XLOOKUP(D90,'Historias de Usuario'!C:C,'Historias de Usuario'!D:D, "Selecciona una historia"), "")</f>
        <v>Como Admin SIGVE quiero editar información de un cuartel para actualizar sus datos de contexto y ubicación</v>
      </c>
      <c r="D90" s="22" t="s">
        <v>210</v>
      </c>
      <c r="E90" s="21" t="s">
        <v>216</v>
      </c>
      <c r="F90" s="21" t="s">
        <v>213</v>
      </c>
      <c r="G90" s="10" t="s">
        <v>1191</v>
      </c>
      <c r="H90" s="22" t="s">
        <v>17</v>
      </c>
    </row>
    <row r="91" spans="2:8" ht="30" x14ac:dyDescent="0.3">
      <c r="B91" s="20" t="str">
        <f>IFERROR(_xlfn.XLOOKUP(D91,'Historias de Usuario'!C:C,'Historias de Usuario'!B:B, "Selecciona una historia"), "")</f>
        <v>Administración Central SIGVE</v>
      </c>
      <c r="C91" s="21" t="str">
        <f>IFERROR(_xlfn.XLOOKUP(D91,'Historias de Usuario'!C:C,'Historias de Usuario'!D:D, "Selecciona una historia"), "")</f>
        <v>Como Admin SIGVE quiero editar información de un cuartel para actualizar sus datos de contexto y ubicación</v>
      </c>
      <c r="D91" s="22" t="s">
        <v>210</v>
      </c>
      <c r="E91" s="21" t="s">
        <v>217</v>
      </c>
      <c r="F91" s="21" t="s">
        <v>214</v>
      </c>
      <c r="G91" s="10" t="s">
        <v>1191</v>
      </c>
      <c r="H91" s="22" t="s">
        <v>17</v>
      </c>
    </row>
    <row r="92" spans="2:8" ht="30" x14ac:dyDescent="0.3">
      <c r="B92" s="20" t="str">
        <f>IFERROR(_xlfn.XLOOKUP(D92,'Historias de Usuario'!C:C,'Historias de Usuario'!B:B, "Selecciona una historia"), "")</f>
        <v>Administración Central SIGVE</v>
      </c>
      <c r="C92" s="21" t="str">
        <f>IFERROR(_xlfn.XLOOKUP(D92,'Historias de Usuario'!C:C,'Historias de Usuario'!D:D, "Selecciona una historia"), "")</f>
        <v>Como Admin SIGVE quiero editar información de un cuartel para actualizar sus datos de contexto y ubicación</v>
      </c>
      <c r="D92" s="22" t="s">
        <v>210</v>
      </c>
      <c r="E92" s="21" t="s">
        <v>218</v>
      </c>
      <c r="F92" s="21" t="s">
        <v>215</v>
      </c>
      <c r="G92" s="10" t="s">
        <v>1191</v>
      </c>
      <c r="H92" s="22" t="s">
        <v>17</v>
      </c>
    </row>
    <row r="93" spans="2:8" ht="30" x14ac:dyDescent="0.3">
      <c r="B93" s="20" t="str">
        <f>IFERROR(_xlfn.XLOOKUP(D93,'Historias de Usuario'!C:C,'Historias de Usuario'!B:B, "Selecciona una historia"), "")</f>
        <v>Administración Central SIGVE</v>
      </c>
      <c r="C93" s="21" t="str">
        <f>IFERROR(_xlfn.XLOOKUP(D93,'Historias de Usuario'!C:C,'Historias de Usuario'!D:D, "Selecciona una historia"), "")</f>
        <v>Como Admin SIGVE quiero editar información de un cuartel para actualizar sus datos de contexto y ubicación</v>
      </c>
      <c r="D93" s="22" t="s">
        <v>210</v>
      </c>
      <c r="E93" s="21" t="s">
        <v>219</v>
      </c>
      <c r="F93" s="21" t="s">
        <v>171</v>
      </c>
      <c r="G93" s="10" t="s">
        <v>1191</v>
      </c>
      <c r="H93" s="22" t="s">
        <v>17</v>
      </c>
    </row>
    <row r="94" spans="2:8" ht="30" x14ac:dyDescent="0.3">
      <c r="B94" s="18" t="str">
        <f>IFERROR(_xlfn.XLOOKUP(D94,'Historias de Usuario'!C:C,'Historias de Usuario'!B:B, "Selecciona una historia"), "")</f>
        <v>Administración Central SIGVE</v>
      </c>
      <c r="C94" s="10" t="str">
        <f>IFERROR(_xlfn.XLOOKUP(D94,'Historias de Usuario'!C:C,'Historias de Usuario'!D:D, "Selecciona una historia"), "")</f>
        <v>Como Admin SIGVE quiero editar información de un cuartel para actualizar sus datos de contexto y ubicación</v>
      </c>
      <c r="D94" s="9" t="s">
        <v>210</v>
      </c>
      <c r="E94" s="21" t="s">
        <v>222</v>
      </c>
      <c r="F94" s="21" t="s">
        <v>172</v>
      </c>
      <c r="G94" s="10" t="s">
        <v>1191</v>
      </c>
      <c r="H94" s="9" t="s">
        <v>17</v>
      </c>
    </row>
    <row r="95" spans="2:8" ht="30" x14ac:dyDescent="0.3">
      <c r="B95" s="20" t="str">
        <f>IFERROR(_xlfn.XLOOKUP(D95,'Historias de Usuario'!C:C,'Historias de Usuario'!B:B, "Selecciona una historia"), "")</f>
        <v>Administración Central SIGVE</v>
      </c>
      <c r="C95" s="21" t="str">
        <f>IFERROR(_xlfn.XLOOKUP(D95,'Historias de Usuario'!C:C,'Historias de Usuario'!D:D, "Selecciona una historia"), "")</f>
        <v>Como Admin SIGVE quiero eliminar un cuartel para remover estaciones que ya no están operativas</v>
      </c>
      <c r="D95" s="22" t="s">
        <v>220</v>
      </c>
      <c r="E95" s="21" t="s">
        <v>223</v>
      </c>
      <c r="F95" s="21" t="s">
        <v>181</v>
      </c>
      <c r="G95" s="10" t="s">
        <v>1191</v>
      </c>
      <c r="H95" s="22" t="s">
        <v>17</v>
      </c>
    </row>
    <row r="96" spans="2:8" ht="30" x14ac:dyDescent="0.3">
      <c r="B96" s="18" t="str">
        <f>IFERROR(_xlfn.XLOOKUP(D96,'Historias de Usuario'!C:C,'Historias de Usuario'!B:B, "Selecciona una historia"), "")</f>
        <v>Administración Central SIGVE</v>
      </c>
      <c r="C96" s="10" t="str">
        <f>IFERROR(_xlfn.XLOOKUP(D96,'Historias de Usuario'!C:C,'Historias de Usuario'!D:D, "Selecciona una historia"), "")</f>
        <v>Como Admin SIGVE quiero eliminar un cuartel para remover estaciones que ya no están operativas</v>
      </c>
      <c r="D96" s="9" t="s">
        <v>220</v>
      </c>
      <c r="E96" s="21" t="s">
        <v>225</v>
      </c>
      <c r="F96" s="10" t="s">
        <v>224</v>
      </c>
      <c r="G96" s="10" t="s">
        <v>1191</v>
      </c>
      <c r="H96" s="9" t="s">
        <v>17</v>
      </c>
    </row>
    <row r="97" spans="2:8" ht="30" x14ac:dyDescent="0.3">
      <c r="B97" s="20" t="str">
        <f>IFERROR(_xlfn.XLOOKUP(D97,'Historias de Usuario'!C:C,'Historias de Usuario'!B:B, "Selecciona una historia"), "")</f>
        <v>Administración Central SIGVE</v>
      </c>
      <c r="C97" s="21" t="str">
        <f>IFERROR(_xlfn.XLOOKUP(D97,'Historias de Usuario'!C:C,'Historias de Usuario'!D:D, "Selecciona una historia"), "")</f>
        <v>Como Admin SIGVE quiero eliminar un cuartel para remover estaciones que ya no están operativas</v>
      </c>
      <c r="D97" s="22" t="s">
        <v>220</v>
      </c>
      <c r="E97" s="21" t="s">
        <v>226</v>
      </c>
      <c r="F97" s="21" t="s">
        <v>184</v>
      </c>
      <c r="G97" s="10" t="s">
        <v>1191</v>
      </c>
      <c r="H97" s="22" t="s">
        <v>17</v>
      </c>
    </row>
    <row r="98" spans="2:8" ht="30" x14ac:dyDescent="0.3">
      <c r="B98" s="20" t="str">
        <f>IFERROR(_xlfn.XLOOKUP(D98,'Historias de Usuario'!C:C,'Historias de Usuario'!B:B, "Selecciona una historia"), "")</f>
        <v>Administración Central SIGVE</v>
      </c>
      <c r="C98" s="21" t="str">
        <f>IFERROR(_xlfn.XLOOKUP(D98,'Historias de Usuario'!C:C,'Historias de Usuario'!D:D, "Selecciona una historia"), "")</f>
        <v>Como Admin SIGVE quiero crear un nuevo repuesto maestros para que este disponible para todos los talleres</v>
      </c>
      <c r="D98" s="22" t="s">
        <v>228</v>
      </c>
      <c r="E98" s="21" t="s">
        <v>232</v>
      </c>
      <c r="F98" s="21" t="s">
        <v>231</v>
      </c>
      <c r="G98" s="10" t="s">
        <v>1191</v>
      </c>
      <c r="H98" s="22" t="s">
        <v>17</v>
      </c>
    </row>
    <row r="99" spans="2:8" ht="30" x14ac:dyDescent="0.3">
      <c r="B99" s="20" t="str">
        <f>IFERROR(_xlfn.XLOOKUP(D99,'Historias de Usuario'!C:C,'Historias de Usuario'!B:B, "Selecciona una historia"), "")</f>
        <v>Administración Central SIGVE</v>
      </c>
      <c r="C99" s="21" t="str">
        <f>IFERROR(_xlfn.XLOOKUP(D99,'Historias de Usuario'!C:C,'Historias de Usuario'!D:D, "Selecciona una historia"), "")</f>
        <v>Como Admin SIGVE quiero crear un nuevo repuesto maestros para que este disponible para todos los talleres</v>
      </c>
      <c r="D99" s="22" t="s">
        <v>228</v>
      </c>
      <c r="E99" s="21" t="s">
        <v>238</v>
      </c>
      <c r="F99" s="21" t="s">
        <v>233</v>
      </c>
      <c r="G99" s="10" t="s">
        <v>1191</v>
      </c>
      <c r="H99" s="22" t="s">
        <v>17</v>
      </c>
    </row>
    <row r="100" spans="2:8" ht="30" x14ac:dyDescent="0.3">
      <c r="B100" s="20" t="str">
        <f>IFERROR(_xlfn.XLOOKUP(D100,'Historias de Usuario'!C:C,'Historias de Usuario'!B:B, "Selecciona una historia"), "")</f>
        <v>Administración Central SIGVE</v>
      </c>
      <c r="C100" s="21" t="str">
        <f>IFERROR(_xlfn.XLOOKUP(D100,'Historias de Usuario'!C:C,'Historias de Usuario'!D:D, "Selecciona una historia"), "")</f>
        <v>Como Admin SIGVE quiero crear un nuevo repuesto maestros para que este disponible para todos los talleres</v>
      </c>
      <c r="D100" s="22" t="s">
        <v>228</v>
      </c>
      <c r="E100" s="21" t="s">
        <v>239</v>
      </c>
      <c r="F100" s="21" t="s">
        <v>234</v>
      </c>
      <c r="G100" s="10" t="s">
        <v>1191</v>
      </c>
      <c r="H100" s="22" t="s">
        <v>17</v>
      </c>
    </row>
    <row r="101" spans="2:8" ht="30" x14ac:dyDescent="0.3">
      <c r="B101" s="20" t="str">
        <f>IFERROR(_xlfn.XLOOKUP(D101,'Historias de Usuario'!C:C,'Historias de Usuario'!B:B, "Selecciona una historia"), "")</f>
        <v>Administración Central SIGVE</v>
      </c>
      <c r="C101" s="21" t="str">
        <f>IFERROR(_xlfn.XLOOKUP(D101,'Historias de Usuario'!C:C,'Historias de Usuario'!D:D, "Selecciona una historia"), "")</f>
        <v>Como Admin SIGVE quiero crear un nuevo repuesto maestros para que este disponible para todos los talleres</v>
      </c>
      <c r="D101" s="22" t="s">
        <v>228</v>
      </c>
      <c r="E101" s="21" t="s">
        <v>240</v>
      </c>
      <c r="F101" s="21" t="s">
        <v>235</v>
      </c>
      <c r="G101" s="10" t="s">
        <v>1191</v>
      </c>
      <c r="H101" s="22" t="s">
        <v>17</v>
      </c>
    </row>
    <row r="102" spans="2:8" ht="30" x14ac:dyDescent="0.3">
      <c r="B102" s="20" t="str">
        <f>IFERROR(_xlfn.XLOOKUP(D102,'Historias de Usuario'!C:C,'Historias de Usuario'!B:B, "Selecciona una historia"), "")</f>
        <v>Administración Central SIGVE</v>
      </c>
      <c r="C102" s="21" t="str">
        <f>IFERROR(_xlfn.XLOOKUP(D102,'Historias de Usuario'!C:C,'Historias de Usuario'!D:D, "Selecciona una historia"), "")</f>
        <v>Como Admin SIGVE quiero crear un nuevo repuesto maestros para que este disponible para todos los talleres</v>
      </c>
      <c r="D102" s="22" t="s">
        <v>228</v>
      </c>
      <c r="E102" s="21" t="s">
        <v>241</v>
      </c>
      <c r="F102" s="21" t="s">
        <v>236</v>
      </c>
      <c r="G102" s="10" t="s">
        <v>1191</v>
      </c>
      <c r="H102" s="22" t="s">
        <v>17</v>
      </c>
    </row>
    <row r="103" spans="2:8" ht="30" x14ac:dyDescent="0.3">
      <c r="B103" s="20" t="str">
        <f>IFERROR(_xlfn.XLOOKUP(D103,'Historias de Usuario'!C:C,'Historias de Usuario'!B:B, "Selecciona una historia"), "")</f>
        <v>Administración Central SIGVE</v>
      </c>
      <c r="C103" s="21" t="str">
        <f>IFERROR(_xlfn.XLOOKUP(D103,'Historias de Usuario'!C:C,'Historias de Usuario'!D:D, "Selecciona una historia"), "")</f>
        <v>Como Admin SIGVE quiero crear un nuevo repuesto maestros para que este disponible para todos los talleres</v>
      </c>
      <c r="D103" s="22" t="s">
        <v>228</v>
      </c>
      <c r="E103" s="21" t="s">
        <v>242</v>
      </c>
      <c r="F103" s="21" t="s">
        <v>154</v>
      </c>
      <c r="G103" s="10" t="s">
        <v>1191</v>
      </c>
      <c r="H103" s="22" t="s">
        <v>17</v>
      </c>
    </row>
    <row r="104" spans="2:8" ht="30" x14ac:dyDescent="0.3">
      <c r="B104" s="20" t="str">
        <f>IFERROR(_xlfn.XLOOKUP(D104,'Historias de Usuario'!C:C,'Historias de Usuario'!B:B, "Selecciona una historia"), "")</f>
        <v>Administración Central SIGVE</v>
      </c>
      <c r="C104" s="21" t="str">
        <f>IFERROR(_xlfn.XLOOKUP(D104,'Historias de Usuario'!C:C,'Historias de Usuario'!D:D, "Selecciona una historia"), "")</f>
        <v>Como Admin SIGVE quiero crear un nuevo repuesto maestros para que este disponible para todos los talleres</v>
      </c>
      <c r="D104" s="22" t="s">
        <v>228</v>
      </c>
      <c r="E104" s="21" t="s">
        <v>243</v>
      </c>
      <c r="F104" s="21" t="s">
        <v>237</v>
      </c>
      <c r="G104" s="10" t="s">
        <v>1191</v>
      </c>
      <c r="H104" s="22" t="s">
        <v>17</v>
      </c>
    </row>
    <row r="105" spans="2:8" ht="30" x14ac:dyDescent="0.3">
      <c r="B105" s="20" t="str">
        <f>IFERROR(_xlfn.XLOOKUP(D105,'Historias de Usuario'!C:C,'Historias de Usuario'!B:B, "Selecciona una historia"), "")</f>
        <v>Administración Central SIGVE</v>
      </c>
      <c r="C105" s="21" t="str">
        <f>IFERROR(_xlfn.XLOOKUP(D105,'Historias de Usuario'!C:C,'Historias de Usuario'!D:D, "Selecciona una historia"), "")</f>
        <v>Como Admin SIGVE quiero crear un nuevo repuesto maestros para que este disponible para todos los talleres</v>
      </c>
      <c r="D105" s="22" t="s">
        <v>228</v>
      </c>
      <c r="E105" s="21" t="s">
        <v>244</v>
      </c>
      <c r="F105" s="21" t="s">
        <v>192</v>
      </c>
      <c r="G105" s="10" t="s">
        <v>1191</v>
      </c>
      <c r="H105" s="22" t="s">
        <v>17</v>
      </c>
    </row>
    <row r="106" spans="2:8" ht="43.2" x14ac:dyDescent="0.3">
      <c r="B106" s="20" t="str">
        <f>IFERROR(_xlfn.XLOOKUP(D106,'Historias de Usuario'!C:C,'Historias de Usuario'!B:B, "Selecciona una historia"), "")</f>
        <v>Administración Central SIGVE</v>
      </c>
      <c r="C106" s="21" t="str">
        <f>IFERROR(_xlfn.XLOOKUP(D106,'Historias de Usuario'!C:C,'Historias de Usuario'!D:D, "Selecciona una historia"), "")</f>
        <v>Como Admin SIGVE quiero gestionar el catálogo maestro de repuestos para estandarizar los repuestos disponibles en el sistema</v>
      </c>
      <c r="D106" s="22" t="s">
        <v>246</v>
      </c>
      <c r="E106" s="21" t="s">
        <v>247</v>
      </c>
      <c r="F106" s="21" t="s">
        <v>248</v>
      </c>
      <c r="G106" s="10" t="s">
        <v>1191</v>
      </c>
      <c r="H106" s="22" t="s">
        <v>17</v>
      </c>
    </row>
    <row r="107" spans="2:8" ht="43.2" x14ac:dyDescent="0.3">
      <c r="B107" s="20" t="str">
        <f>IFERROR(_xlfn.XLOOKUP(D107,'Historias de Usuario'!C:C,'Historias de Usuario'!B:B, "Selecciona una historia"), "")</f>
        <v>Administración Central SIGVE</v>
      </c>
      <c r="C107" s="21" t="str">
        <f>IFERROR(_xlfn.XLOOKUP(D107,'Historias de Usuario'!C:C,'Historias de Usuario'!D:D, "Selecciona una historia"), "")</f>
        <v>Como Admin SIGVE quiero gestionar el catálogo maestro de repuestos para estandarizar los repuestos disponibles en el sistema</v>
      </c>
      <c r="D107" s="22" t="s">
        <v>246</v>
      </c>
      <c r="E107" s="21" t="s">
        <v>249</v>
      </c>
      <c r="F107" s="21" t="s">
        <v>1218</v>
      </c>
      <c r="G107" s="10" t="s">
        <v>1191</v>
      </c>
      <c r="H107" s="22" t="s">
        <v>17</v>
      </c>
    </row>
    <row r="108" spans="2:8" ht="43.2" x14ac:dyDescent="0.3">
      <c r="B108" s="20" t="str">
        <f>IFERROR(_xlfn.XLOOKUP(D108,'Historias de Usuario'!C:C,'Historias de Usuario'!B:B, "Selecciona una historia"), "")</f>
        <v>Administración Central SIGVE</v>
      </c>
      <c r="C108" s="21" t="str">
        <f>IFERROR(_xlfn.XLOOKUP(D108,'Historias de Usuario'!C:C,'Historias de Usuario'!D:D, "Selecciona una historia"), "")</f>
        <v>Como Admin SIGVE quiero gestionar el catálogo maestro de repuestos para estandarizar los repuestos disponibles en el sistema</v>
      </c>
      <c r="D108" s="22" t="s">
        <v>246</v>
      </c>
      <c r="E108" s="21" t="s">
        <v>251</v>
      </c>
      <c r="F108" s="21" t="s">
        <v>230</v>
      </c>
      <c r="G108" s="10" t="s">
        <v>1191</v>
      </c>
      <c r="H108" s="22" t="s">
        <v>17</v>
      </c>
    </row>
    <row r="109" spans="2:8" ht="43.2" x14ac:dyDescent="0.3">
      <c r="B109" s="20" t="str">
        <f>IFERROR(_xlfn.XLOOKUP(D109,'Historias de Usuario'!C:C,'Historias de Usuario'!B:B, "Selecciona una historia"), "")</f>
        <v>Administración Central SIGVE</v>
      </c>
      <c r="C109" s="21" t="str">
        <f>IFERROR(_xlfn.XLOOKUP(D109,'Historias de Usuario'!C:C,'Historias de Usuario'!D:D, "Selecciona una historia"), "")</f>
        <v>Como Admin SIGVE quiero gestionar el catálogo maestro de repuestos para estandarizar los repuestos disponibles en el sistema</v>
      </c>
      <c r="D109" s="22" t="s">
        <v>246</v>
      </c>
      <c r="E109" s="21" t="s">
        <v>252</v>
      </c>
      <c r="F109" s="21" t="s">
        <v>136</v>
      </c>
      <c r="G109" s="10" t="s">
        <v>1191</v>
      </c>
      <c r="H109" s="22" t="s">
        <v>17</v>
      </c>
    </row>
    <row r="110" spans="2:8" ht="43.2" x14ac:dyDescent="0.3">
      <c r="B110" s="20" t="str">
        <f>IFERROR(_xlfn.XLOOKUP(D110,'Historias de Usuario'!C:C,'Historias de Usuario'!B:B, "Selecciona una historia"), "")</f>
        <v>Administración Central SIGVE</v>
      </c>
      <c r="C110" s="21" t="str">
        <f>IFERROR(_xlfn.XLOOKUP(D110,'Historias de Usuario'!C:C,'Historias de Usuario'!D:D, "Selecciona una historia"), "")</f>
        <v>Como Admin SIGVE quiero gestionar el catálogo maestro de repuestos para estandarizar los repuestos disponibles en el sistema</v>
      </c>
      <c r="D110" s="22" t="s">
        <v>246</v>
      </c>
      <c r="E110" s="21" t="s">
        <v>253</v>
      </c>
      <c r="F110" s="21" t="s">
        <v>250</v>
      </c>
      <c r="G110" s="10" t="s">
        <v>1191</v>
      </c>
      <c r="H110" s="22" t="s">
        <v>17</v>
      </c>
    </row>
    <row r="111" spans="2:8" ht="30" x14ac:dyDescent="0.3">
      <c r="B111" s="20" t="str">
        <f>IFERROR(_xlfn.XLOOKUP(D111,'Historias de Usuario'!C:C,'Historias de Usuario'!B:B, "Selecciona una historia"), "")</f>
        <v>Administración Central SIGVE</v>
      </c>
      <c r="C111" s="21" t="str">
        <f>IFERROR(_xlfn.XLOOKUP(D111,'Historias de Usuario'!C:C,'Historias de Usuario'!D:D, "Selecciona una historia"), "")</f>
        <v>Como Admin SIGVE quiero editar un repuesto maestro para actualizar su información</v>
      </c>
      <c r="D111" s="22" t="s">
        <v>255</v>
      </c>
      <c r="E111" s="21" t="s">
        <v>256</v>
      </c>
      <c r="F111" s="21" t="s">
        <v>258</v>
      </c>
      <c r="G111" s="10" t="s">
        <v>1191</v>
      </c>
      <c r="H111" s="22" t="s">
        <v>17</v>
      </c>
    </row>
    <row r="112" spans="2:8" ht="30" x14ac:dyDescent="0.3">
      <c r="B112" s="20" t="str">
        <f>IFERROR(_xlfn.XLOOKUP(D112,'Historias de Usuario'!C:C,'Historias de Usuario'!B:B, "Selecciona una historia"), "")</f>
        <v>Administración Central SIGVE</v>
      </c>
      <c r="C112" s="21" t="str">
        <f>IFERROR(_xlfn.XLOOKUP(D112,'Historias de Usuario'!C:C,'Historias de Usuario'!D:D, "Selecciona una historia"), "")</f>
        <v>Como Admin SIGVE quiero editar un repuesto maestro para actualizar su información</v>
      </c>
      <c r="D112" s="22" t="s">
        <v>255</v>
      </c>
      <c r="E112" s="21" t="s">
        <v>257</v>
      </c>
      <c r="F112" s="21" t="s">
        <v>168</v>
      </c>
      <c r="G112" s="10" t="s">
        <v>1191</v>
      </c>
      <c r="H112" s="22" t="s">
        <v>17</v>
      </c>
    </row>
    <row r="113" spans="2:8" ht="30" x14ac:dyDescent="0.3">
      <c r="B113" s="20" t="str">
        <f>IFERROR(_xlfn.XLOOKUP(D113,'Historias de Usuario'!C:C,'Historias de Usuario'!B:B, "Selecciona una historia"), "")</f>
        <v>Administración Central SIGVE</v>
      </c>
      <c r="C113" s="21" t="str">
        <f>IFERROR(_xlfn.XLOOKUP(D113,'Historias de Usuario'!C:C,'Historias de Usuario'!D:D, "Selecciona una historia"), "")</f>
        <v>Como Admin SIGVE quiero editar un repuesto maestro para actualizar su información</v>
      </c>
      <c r="D113" s="22" t="s">
        <v>255</v>
      </c>
      <c r="E113" s="21" t="s">
        <v>260</v>
      </c>
      <c r="F113" s="21" t="s">
        <v>259</v>
      </c>
      <c r="G113" s="10" t="s">
        <v>1191</v>
      </c>
      <c r="H113" s="22" t="s">
        <v>17</v>
      </c>
    </row>
    <row r="114" spans="2:8" ht="30" x14ac:dyDescent="0.3">
      <c r="B114" s="20" t="str">
        <f>IFERROR(_xlfn.XLOOKUP(D114,'Historias de Usuario'!C:C,'Historias de Usuario'!B:B, "Selecciona una historia"), "")</f>
        <v>Administración Central SIGVE</v>
      </c>
      <c r="C114" s="21" t="str">
        <f>IFERROR(_xlfn.XLOOKUP(D114,'Historias de Usuario'!C:C,'Historias de Usuario'!D:D, "Selecciona una historia"), "")</f>
        <v>Como Admin SIGVE quiero editar un repuesto maestro para actualizar su información</v>
      </c>
      <c r="D114" s="22" t="s">
        <v>255</v>
      </c>
      <c r="E114" s="21" t="s">
        <v>261</v>
      </c>
      <c r="F114" s="21" t="s">
        <v>171</v>
      </c>
      <c r="G114" s="10" t="s">
        <v>1191</v>
      </c>
      <c r="H114" s="22" t="s">
        <v>17</v>
      </c>
    </row>
    <row r="115" spans="2:8" ht="30" x14ac:dyDescent="0.3">
      <c r="B115" s="20" t="str">
        <f>IFERROR(_xlfn.XLOOKUP(D115,'Historias de Usuario'!C:C,'Historias de Usuario'!B:B, "Selecciona una historia"), "")</f>
        <v>Administración Central SIGVE</v>
      </c>
      <c r="C115" s="21" t="str">
        <f>IFERROR(_xlfn.XLOOKUP(D115,'Historias de Usuario'!C:C,'Historias de Usuario'!D:D, "Selecciona una historia"), "")</f>
        <v>Como Admin SIGVE quiero editar un repuesto maestro para actualizar su información</v>
      </c>
      <c r="D115" s="22" t="s">
        <v>255</v>
      </c>
      <c r="E115" s="21" t="s">
        <v>262</v>
      </c>
      <c r="F115" s="21" t="s">
        <v>172</v>
      </c>
      <c r="G115" s="10" t="s">
        <v>1191</v>
      </c>
      <c r="H115" s="22" t="s">
        <v>17</v>
      </c>
    </row>
    <row r="116" spans="2:8" ht="30" x14ac:dyDescent="0.3">
      <c r="B116" s="20" t="str">
        <f>IFERROR(_xlfn.XLOOKUP(D116,'Historias de Usuario'!C:C,'Historias de Usuario'!B:B, "Selecciona una historia"), "")</f>
        <v>Administración Central SIGVE</v>
      </c>
      <c r="C116" s="21" t="str">
        <f>IFERROR(_xlfn.XLOOKUP(D116,'Historias de Usuario'!C:C,'Historias de Usuario'!D:D, "Selecciona una historia"), "")</f>
        <v>Como Admin SIGVE quiero eliminar un repuesto maesto para mantener solo repuestos vigentes</v>
      </c>
      <c r="D116" s="22" t="s">
        <v>263</v>
      </c>
      <c r="E116" s="21" t="s">
        <v>267</v>
      </c>
      <c r="F116" s="21" t="s">
        <v>180</v>
      </c>
      <c r="G116" s="10" t="s">
        <v>1191</v>
      </c>
      <c r="H116" s="22" t="s">
        <v>17</v>
      </c>
    </row>
    <row r="117" spans="2:8" ht="30" x14ac:dyDescent="0.3">
      <c r="B117" s="20" t="str">
        <f>IFERROR(_xlfn.XLOOKUP(D117,'Historias de Usuario'!C:C,'Historias de Usuario'!B:B, "Selecciona una historia"), "")</f>
        <v>Administración Central SIGVE</v>
      </c>
      <c r="C117" s="21" t="str">
        <f>IFERROR(_xlfn.XLOOKUP(D117,'Historias de Usuario'!C:C,'Historias de Usuario'!D:D, "Selecciona una historia"), "")</f>
        <v>Como Admin SIGVE quiero eliminar un repuesto maesto para mantener solo repuestos vigentes</v>
      </c>
      <c r="D117" s="22" t="s">
        <v>263</v>
      </c>
      <c r="E117" s="21" t="s">
        <v>268</v>
      </c>
      <c r="F117" s="21" t="s">
        <v>265</v>
      </c>
      <c r="G117" s="10" t="s">
        <v>1191</v>
      </c>
      <c r="H117" s="22" t="s">
        <v>17</v>
      </c>
    </row>
    <row r="118" spans="2:8" ht="30" x14ac:dyDescent="0.3">
      <c r="B118" s="20" t="str">
        <f>IFERROR(_xlfn.XLOOKUP(D118,'Historias de Usuario'!C:C,'Historias de Usuario'!B:B, "Selecciona una historia"), "")</f>
        <v>Administración Central SIGVE</v>
      </c>
      <c r="C118" s="21" t="str">
        <f>IFERROR(_xlfn.XLOOKUP(D118,'Historias de Usuario'!C:C,'Historias de Usuario'!D:D, "Selecciona una historia"), "")</f>
        <v>Como Admin SIGVE quiero eliminar un repuesto maesto para mantener solo repuestos vigentes</v>
      </c>
      <c r="D118" s="22" t="s">
        <v>263</v>
      </c>
      <c r="E118" s="21" t="s">
        <v>269</v>
      </c>
      <c r="F118" s="21" t="s">
        <v>266</v>
      </c>
      <c r="G118" s="10" t="s">
        <v>1191</v>
      </c>
      <c r="H118" s="22" t="s">
        <v>17</v>
      </c>
    </row>
    <row r="119" spans="2:8" ht="30" x14ac:dyDescent="0.3">
      <c r="B119" s="20" t="str">
        <f>IFERROR(_xlfn.XLOOKUP(D119,'Historias de Usuario'!C:C,'Historias de Usuario'!B:B, "Selecciona una historia"), "")</f>
        <v>Administración Central SIGVE</v>
      </c>
      <c r="C119" s="21" t="str">
        <f>IFERROR(_xlfn.XLOOKUP(D119,'Historias de Usuario'!C:C,'Historias de Usuario'!D:D, "Selecciona una historia"), "")</f>
        <v>Como Admin SIGVE quiero crear un proveedor global para que todos los talleres puedan usarlo</v>
      </c>
      <c r="D119" s="22" t="s">
        <v>270</v>
      </c>
      <c r="E119" s="21" t="s">
        <v>272</v>
      </c>
      <c r="F119" s="21" t="s">
        <v>273</v>
      </c>
      <c r="G119" s="10" t="s">
        <v>1191</v>
      </c>
      <c r="H119" s="22" t="s">
        <v>17</v>
      </c>
    </row>
    <row r="120" spans="2:8" ht="30" x14ac:dyDescent="0.3">
      <c r="B120" s="20" t="str">
        <f>IFERROR(_xlfn.XLOOKUP(D120,'Historias de Usuario'!C:C,'Historias de Usuario'!B:B, "Selecciona una historia"), "")</f>
        <v>Administración Central SIGVE</v>
      </c>
      <c r="C120" s="21" t="str">
        <f>IFERROR(_xlfn.XLOOKUP(D120,'Historias de Usuario'!C:C,'Historias de Usuario'!D:D, "Selecciona una historia"), "")</f>
        <v>Como Admin SIGVE quiero crear un proveedor global para que todos los talleres puedan usarlo</v>
      </c>
      <c r="D120" s="22" t="s">
        <v>270</v>
      </c>
      <c r="E120" s="21" t="s">
        <v>278</v>
      </c>
      <c r="F120" s="21" t="s">
        <v>274</v>
      </c>
      <c r="G120" s="10" t="s">
        <v>1191</v>
      </c>
      <c r="H120" s="22" t="s">
        <v>17</v>
      </c>
    </row>
    <row r="121" spans="2:8" ht="30" x14ac:dyDescent="0.3">
      <c r="B121" s="20" t="str">
        <f>IFERROR(_xlfn.XLOOKUP(D121,'Historias de Usuario'!C:C,'Historias de Usuario'!B:B, "Selecciona una historia"), "")</f>
        <v>Administración Central SIGVE</v>
      </c>
      <c r="C121" s="21" t="str">
        <f>IFERROR(_xlfn.XLOOKUP(D121,'Historias de Usuario'!C:C,'Historias de Usuario'!D:D, "Selecciona una historia"), "")</f>
        <v>Como Admin SIGVE quiero crear un proveedor global para que todos los talleres puedan usarlo</v>
      </c>
      <c r="D121" s="22" t="s">
        <v>270</v>
      </c>
      <c r="E121" s="21" t="s">
        <v>279</v>
      </c>
      <c r="F121" s="21" t="s">
        <v>275</v>
      </c>
      <c r="G121" s="10" t="s">
        <v>1191</v>
      </c>
      <c r="H121" s="22" t="s">
        <v>17</v>
      </c>
    </row>
    <row r="122" spans="2:8" ht="30" x14ac:dyDescent="0.3">
      <c r="B122" s="20" t="str">
        <f>IFERROR(_xlfn.XLOOKUP(D122,'Historias de Usuario'!C:C,'Historias de Usuario'!B:B, "Selecciona una historia"), "")</f>
        <v>Administración Central SIGVE</v>
      </c>
      <c r="C122" s="21" t="str">
        <f>IFERROR(_xlfn.XLOOKUP(D122,'Historias de Usuario'!C:C,'Historias de Usuario'!D:D, "Selecciona una historia"), "")</f>
        <v>Como Admin SIGVE quiero crear un proveedor global para que todos los talleres puedan usarlo</v>
      </c>
      <c r="D122" s="22" t="s">
        <v>270</v>
      </c>
      <c r="E122" s="21" t="s">
        <v>280</v>
      </c>
      <c r="F122" s="21" t="s">
        <v>276</v>
      </c>
      <c r="G122" s="10" t="s">
        <v>1191</v>
      </c>
      <c r="H122" s="22" t="s">
        <v>17</v>
      </c>
    </row>
    <row r="123" spans="2:8" ht="30" x14ac:dyDescent="0.3">
      <c r="B123" s="20" t="str">
        <f>IFERROR(_xlfn.XLOOKUP(D123,'Historias de Usuario'!C:C,'Historias de Usuario'!B:B, "Selecciona una historia"), "")</f>
        <v>Administración Central SIGVE</v>
      </c>
      <c r="C123" s="21" t="str">
        <f>IFERROR(_xlfn.XLOOKUP(D123,'Historias de Usuario'!C:C,'Historias de Usuario'!D:D, "Selecciona una historia"), "")</f>
        <v>Como Admin SIGVE quiero crear un proveedor global para que todos los talleres puedan usarlo</v>
      </c>
      <c r="D123" s="22" t="s">
        <v>270</v>
      </c>
      <c r="E123" s="21" t="s">
        <v>281</v>
      </c>
      <c r="F123" s="21" t="s">
        <v>151</v>
      </c>
      <c r="G123" s="10" t="s">
        <v>1191</v>
      </c>
      <c r="H123" s="22" t="s">
        <v>17</v>
      </c>
    </row>
    <row r="124" spans="2:8" ht="30" x14ac:dyDescent="0.3">
      <c r="B124" s="20" t="str">
        <f>IFERROR(_xlfn.XLOOKUP(D124,'Historias de Usuario'!C:C,'Historias de Usuario'!B:B, "Selecciona una historia"), "")</f>
        <v>Administración Central SIGVE</v>
      </c>
      <c r="C124" s="21" t="str">
        <f>IFERROR(_xlfn.XLOOKUP(D124,'Historias de Usuario'!C:C,'Historias de Usuario'!D:D, "Selecciona una historia"), "")</f>
        <v>Como Admin SIGVE quiero crear un proveedor global para que todos los talleres puedan usarlo</v>
      </c>
      <c r="D124" s="22" t="s">
        <v>270</v>
      </c>
      <c r="E124" s="21" t="s">
        <v>282</v>
      </c>
      <c r="F124" s="21" t="s">
        <v>277</v>
      </c>
      <c r="G124" s="10" t="s">
        <v>1191</v>
      </c>
      <c r="H124" s="22" t="s">
        <v>17</v>
      </c>
    </row>
    <row r="125" spans="2:8" ht="30" x14ac:dyDescent="0.3">
      <c r="B125" s="20" t="s">
        <v>87</v>
      </c>
      <c r="C125" s="21" t="str">
        <f>IFERROR(_xlfn.XLOOKUP(T_Tarea[[#This Row],[ID_Historia]],'Historias de Usuario'!C:C,'Historias de Usuario'!D:D, "Selecciona una historia"), "")</f>
        <v>Como Admin SIGVE quiero crear un proveedor global para que todos los talleres puedan usarlo</v>
      </c>
      <c r="D125" s="22" t="s">
        <v>270</v>
      </c>
      <c r="E125" s="21" t="s">
        <v>283</v>
      </c>
      <c r="F125" s="21" t="s">
        <v>154</v>
      </c>
      <c r="G125" s="10" t="s">
        <v>1191</v>
      </c>
      <c r="H125" s="22" t="s">
        <v>17</v>
      </c>
    </row>
    <row r="126" spans="2:8" ht="30" x14ac:dyDescent="0.3">
      <c r="B126" s="20" t="str">
        <f>IFERROR(_xlfn.XLOOKUP(D126,'Historias de Usuario'!C:C,'Historias de Usuario'!B:B, "Selecciona una historia"), "")</f>
        <v>Administración Central SIGVE</v>
      </c>
      <c r="C126" s="21" t="str">
        <f>IFERROR(_xlfn.XLOOKUP(D126,'Historias de Usuario'!C:C,'Historias de Usuario'!D:D, "Selecciona una historia"), "")</f>
        <v>Como Admin SIGVE quiero crear un proveedor global para que todos los talleres puedan usarlo</v>
      </c>
      <c r="D126" s="22" t="s">
        <v>270</v>
      </c>
      <c r="E126" s="21" t="s">
        <v>284</v>
      </c>
      <c r="F126" s="21" t="s">
        <v>192</v>
      </c>
      <c r="G126" s="10" t="s">
        <v>1191</v>
      </c>
      <c r="H126" s="22" t="s">
        <v>17</v>
      </c>
    </row>
    <row r="127" spans="2:8" ht="43.2" x14ac:dyDescent="0.3">
      <c r="B127" s="20" t="str">
        <f>IFERROR(_xlfn.XLOOKUP(D127,'Historias de Usuario'!C:C,'Historias de Usuario'!B:B, "Selecciona una historia"), "")</f>
        <v>Administración Central SIGVE</v>
      </c>
      <c r="C127" s="21" t="str">
        <f>IFERROR(_xlfn.XLOOKUP(D127,'Historias de Usuario'!C:C,'Historias de Usuario'!D:D, "Selecciona una historia"), "")</f>
        <v>Como Admin SIGVE quiero gestionar el catálogo de proveedores globalres para que esten disponibles parar todos los talleres</v>
      </c>
      <c r="D127" s="22" t="s">
        <v>285</v>
      </c>
      <c r="E127" s="21" t="s">
        <v>287</v>
      </c>
      <c r="F127" s="21" t="s">
        <v>288</v>
      </c>
      <c r="G127" s="10" t="s">
        <v>1191</v>
      </c>
      <c r="H127" s="22" t="s">
        <v>17</v>
      </c>
    </row>
    <row r="128" spans="2:8" ht="43.2" x14ac:dyDescent="0.3">
      <c r="B128" s="20" t="str">
        <f>IFERROR(_xlfn.XLOOKUP(D128,'Historias de Usuario'!C:C,'Historias de Usuario'!B:B, "Selecciona una historia"), "")</f>
        <v>Administración Central SIGVE</v>
      </c>
      <c r="C128" s="21" t="str">
        <f>IFERROR(_xlfn.XLOOKUP(D128,'Historias de Usuario'!C:C,'Historias de Usuario'!D:D, "Selecciona una historia"), "")</f>
        <v>Como Admin SIGVE quiero gestionar el catálogo de proveedores globalres para que esten disponibles parar todos los talleres</v>
      </c>
      <c r="D128" s="22" t="s">
        <v>285</v>
      </c>
      <c r="E128" s="21" t="s">
        <v>289</v>
      </c>
      <c r="F128" s="21" t="s">
        <v>290</v>
      </c>
      <c r="G128" s="10" t="s">
        <v>1191</v>
      </c>
      <c r="H128" s="22" t="s">
        <v>17</v>
      </c>
    </row>
    <row r="129" spans="2:8" ht="43.2" x14ac:dyDescent="0.3">
      <c r="B129" s="20" t="str">
        <f>IFERROR(_xlfn.XLOOKUP(D129,'Historias de Usuario'!C:C,'Historias de Usuario'!B:B, "Selecciona una historia"), "")</f>
        <v>Administración Central SIGVE</v>
      </c>
      <c r="C129" s="21" t="str">
        <f>IFERROR(_xlfn.XLOOKUP(D129,'Historias de Usuario'!C:C,'Historias de Usuario'!D:D, "Selecciona una historia"), "")</f>
        <v>Como Admin SIGVE quiero gestionar el catálogo de proveedores globalres para que esten disponibles parar todos los talleres</v>
      </c>
      <c r="D129" s="22" t="s">
        <v>285</v>
      </c>
      <c r="E129" s="21" t="s">
        <v>292</v>
      </c>
      <c r="F129" s="21" t="s">
        <v>230</v>
      </c>
      <c r="G129" s="10" t="s">
        <v>1191</v>
      </c>
      <c r="H129" s="22" t="s">
        <v>17</v>
      </c>
    </row>
    <row r="130" spans="2:8" ht="43.2" x14ac:dyDescent="0.3">
      <c r="B130" s="20" t="str">
        <f>IFERROR(_xlfn.XLOOKUP(D130,'Historias de Usuario'!C:C,'Historias de Usuario'!B:B, "Selecciona una historia"), "")</f>
        <v>Administración Central SIGVE</v>
      </c>
      <c r="C130" s="21" t="str">
        <f>IFERROR(_xlfn.XLOOKUP(D130,'Historias de Usuario'!C:C,'Historias de Usuario'!D:D, "Selecciona una historia"), "")</f>
        <v>Como Admin SIGVE quiero gestionar el catálogo de proveedores globalres para que esten disponibles parar todos los talleres</v>
      </c>
      <c r="D130" s="22" t="s">
        <v>285</v>
      </c>
      <c r="E130" s="21" t="s">
        <v>293</v>
      </c>
      <c r="F130" s="10" t="s">
        <v>136</v>
      </c>
      <c r="G130" s="10" t="s">
        <v>1191</v>
      </c>
      <c r="H130" s="22" t="s">
        <v>17</v>
      </c>
    </row>
    <row r="131" spans="2:8" ht="43.2" x14ac:dyDescent="0.3">
      <c r="B131" s="20" t="str">
        <f>IFERROR(_xlfn.XLOOKUP(D131,'Historias de Usuario'!C:C,'Historias de Usuario'!B:B, "Selecciona una historia"), "")</f>
        <v>Administración Central SIGVE</v>
      </c>
      <c r="C131" s="21" t="str">
        <f>IFERROR(_xlfn.XLOOKUP(D131,'Historias de Usuario'!C:C,'Historias de Usuario'!D:D, "Selecciona una historia"), "")</f>
        <v>Como Admin SIGVE quiero gestionar el catálogo de proveedores globalres para que esten disponibles parar todos los talleres</v>
      </c>
      <c r="D131" s="22" t="s">
        <v>285</v>
      </c>
      <c r="E131" s="21" t="s">
        <v>294</v>
      </c>
      <c r="F131" s="10" t="s">
        <v>291</v>
      </c>
      <c r="G131" s="10" t="s">
        <v>1191</v>
      </c>
      <c r="H131" s="22" t="s">
        <v>17</v>
      </c>
    </row>
    <row r="132" spans="2:8" ht="30" x14ac:dyDescent="0.3">
      <c r="B132" s="20" t="str">
        <f>IFERROR(_xlfn.XLOOKUP(D132,'Historias de Usuario'!C:C,'Historias de Usuario'!B:B, "Selecciona una historia"), "")</f>
        <v>Administración Central SIGVE</v>
      </c>
      <c r="C132" s="21" t="str">
        <f>IFERROR(_xlfn.XLOOKUP(D132,'Historias de Usuario'!C:C,'Historias de Usuario'!D:D, "Selecciona una historia"), "")</f>
        <v>Como Admin SIGVE quiero editar un proveedor global para mantener sus datos actualizados</v>
      </c>
      <c r="D132" s="22" t="s">
        <v>296</v>
      </c>
      <c r="E132" s="21" t="s">
        <v>297</v>
      </c>
      <c r="F132" s="21" t="s">
        <v>298</v>
      </c>
      <c r="G132" s="10" t="s">
        <v>1191</v>
      </c>
      <c r="H132" s="22" t="s">
        <v>17</v>
      </c>
    </row>
    <row r="133" spans="2:8" ht="30" x14ac:dyDescent="0.3">
      <c r="B133" s="20" t="str">
        <f>IFERROR(_xlfn.XLOOKUP(D133,'Historias de Usuario'!C:C,'Historias de Usuario'!B:B, "Selecciona una historia"), "")</f>
        <v>Administración Central SIGVE</v>
      </c>
      <c r="C133" s="21" t="str">
        <f>IFERROR(_xlfn.XLOOKUP(D133,'Historias de Usuario'!C:C,'Historias de Usuario'!D:D, "Selecciona una historia"), "")</f>
        <v>Como Admin SIGVE quiero editar un proveedor global para mantener sus datos actualizados</v>
      </c>
      <c r="D133" s="22" t="s">
        <v>296</v>
      </c>
      <c r="E133" s="21" t="s">
        <v>299</v>
      </c>
      <c r="F133" s="21" t="s">
        <v>168</v>
      </c>
      <c r="G133" s="10" t="s">
        <v>1191</v>
      </c>
      <c r="H133" s="22" t="s">
        <v>17</v>
      </c>
    </row>
    <row r="134" spans="2:8" ht="30" x14ac:dyDescent="0.3">
      <c r="B134" s="20" t="str">
        <f>IFERROR(_xlfn.XLOOKUP(D134,'Historias de Usuario'!C:C,'Historias de Usuario'!B:B, "Selecciona una historia"), "")</f>
        <v>Administración Central SIGVE</v>
      </c>
      <c r="C134" s="21" t="str">
        <f>IFERROR(_xlfn.XLOOKUP(D134,'Historias de Usuario'!C:C,'Historias de Usuario'!D:D, "Selecciona una historia"), "")</f>
        <v>Como Admin SIGVE quiero editar un proveedor global para mantener sus datos actualizados</v>
      </c>
      <c r="D134" s="22" t="s">
        <v>296</v>
      </c>
      <c r="E134" s="21" t="s">
        <v>300</v>
      </c>
      <c r="F134" s="10" t="s">
        <v>259</v>
      </c>
      <c r="G134" s="10" t="s">
        <v>1191</v>
      </c>
      <c r="H134" s="22" t="s">
        <v>17</v>
      </c>
    </row>
    <row r="135" spans="2:8" ht="30" x14ac:dyDescent="0.3">
      <c r="B135" s="20" t="str">
        <f>IFERROR(_xlfn.XLOOKUP(D135,'Historias de Usuario'!C:C,'Historias de Usuario'!B:B, "Selecciona una historia"), "")</f>
        <v>Administración Central SIGVE</v>
      </c>
      <c r="C135" s="21" t="str">
        <f>IFERROR(_xlfn.XLOOKUP(D135,'Historias de Usuario'!C:C,'Historias de Usuario'!D:D, "Selecciona una historia"), "")</f>
        <v>Como Admin SIGVE quiero editar un proveedor global para mantener sus datos actualizados</v>
      </c>
      <c r="D135" s="22" t="s">
        <v>296</v>
      </c>
      <c r="E135" s="21" t="s">
        <v>301</v>
      </c>
      <c r="F135" s="5" t="s">
        <v>171</v>
      </c>
      <c r="G135" s="10" t="s">
        <v>1191</v>
      </c>
      <c r="H135" s="22" t="s">
        <v>17</v>
      </c>
    </row>
    <row r="136" spans="2:8" ht="30" x14ac:dyDescent="0.3">
      <c r="B136" s="20" t="str">
        <f>IFERROR(_xlfn.XLOOKUP(D136,'Historias de Usuario'!C:C,'Historias de Usuario'!B:B, "Selecciona una historia"), "")</f>
        <v>Administración Central SIGVE</v>
      </c>
      <c r="C136" s="21" t="str">
        <f>IFERROR(_xlfn.XLOOKUP(D136,'Historias de Usuario'!C:C,'Historias de Usuario'!D:D, "Selecciona una historia"), "")</f>
        <v>Como Admin SIGVE quiero eliminar un proveedor para mantener solo proveedores activos</v>
      </c>
      <c r="D136" s="22" t="s">
        <v>303</v>
      </c>
      <c r="E136" s="21" t="s">
        <v>304</v>
      </c>
      <c r="F136" s="21" t="s">
        <v>180</v>
      </c>
      <c r="G136" s="10" t="s">
        <v>1191</v>
      </c>
      <c r="H136" s="22" t="s">
        <v>17</v>
      </c>
    </row>
    <row r="137" spans="2:8" ht="30" x14ac:dyDescent="0.3">
      <c r="B137" s="20" t="str">
        <f>IFERROR(_xlfn.XLOOKUP(D137,'Historias de Usuario'!C:C,'Historias de Usuario'!B:B, "Selecciona una historia"), "")</f>
        <v>Administración Central SIGVE</v>
      </c>
      <c r="C137" s="21" t="str">
        <f>IFERROR(_xlfn.XLOOKUP(D137,'Historias de Usuario'!C:C,'Historias de Usuario'!D:D, "Selecciona una historia"), "")</f>
        <v>Como Admin SIGVE quiero eliminar un proveedor para mantener solo proveedores activos</v>
      </c>
      <c r="D137" s="22" t="s">
        <v>303</v>
      </c>
      <c r="E137" s="21" t="s">
        <v>305</v>
      </c>
      <c r="F137" s="21" t="s">
        <v>266</v>
      </c>
      <c r="G137" s="10" t="s">
        <v>1191</v>
      </c>
      <c r="H137" s="22" t="s">
        <v>17</v>
      </c>
    </row>
    <row r="138" spans="2:8" ht="30" x14ac:dyDescent="0.3">
      <c r="B138" s="18" t="str">
        <f>IFERROR(_xlfn.XLOOKUP(D138,'Historias de Usuario'!C:C,'Historias de Usuario'!B:B, "Selecciona una historia"), "")</f>
        <v>Administración Central SIGVE</v>
      </c>
      <c r="C138" s="10" t="str">
        <f>IFERROR(_xlfn.XLOOKUP(D138,'Historias de Usuario'!C:C,'Historias de Usuario'!D:D, "Selecciona una historia"), "")</f>
        <v>Como Admin SIGVE quiero crear un item de catálogo para agregar nuevas opciones al sistema</v>
      </c>
      <c r="D138" s="9" t="s">
        <v>307</v>
      </c>
      <c r="E138" s="21" t="s">
        <v>308</v>
      </c>
      <c r="F138" s="10" t="s">
        <v>322</v>
      </c>
      <c r="G138" s="10" t="s">
        <v>1191</v>
      </c>
      <c r="H138" s="22" t="s">
        <v>17</v>
      </c>
    </row>
    <row r="139" spans="2:8" ht="30" x14ac:dyDescent="0.3">
      <c r="B139" s="18" t="str">
        <f>IFERROR(_xlfn.XLOOKUP(D139,'Historias de Usuario'!C:C,'Historias de Usuario'!B:B, "Selecciona una historia"), "")</f>
        <v>Administración Central SIGVE</v>
      </c>
      <c r="C139" s="10" t="str">
        <f>IFERROR(_xlfn.XLOOKUP(D139,'Historias de Usuario'!C:C,'Historias de Usuario'!D:D, "Selecciona una historia"), "")</f>
        <v>Como Admin SIGVE quiero crear un item de catálogo para agregar nuevas opciones al sistema</v>
      </c>
      <c r="D139" s="9" t="s">
        <v>307</v>
      </c>
      <c r="E139" s="21" t="s">
        <v>315</v>
      </c>
      <c r="F139" s="10" t="s">
        <v>323</v>
      </c>
      <c r="G139" s="10" t="s">
        <v>1191</v>
      </c>
      <c r="H139" s="22" t="s">
        <v>17</v>
      </c>
    </row>
    <row r="140" spans="2:8" ht="30" x14ac:dyDescent="0.3">
      <c r="B140" s="18" t="str">
        <f>IFERROR(_xlfn.XLOOKUP(D140,'Historias de Usuario'!C:C,'Historias de Usuario'!B:B, "Selecciona una historia"), "")</f>
        <v>Administración Central SIGVE</v>
      </c>
      <c r="C140" s="10" t="str">
        <f>IFERROR(_xlfn.XLOOKUP(D140,'Historias de Usuario'!C:C,'Historias de Usuario'!D:D, "Selecciona una historia"), "")</f>
        <v>Como Admin SIGVE quiero crear un item de catálogo para agregar nuevas opciones al sistema</v>
      </c>
      <c r="D140" s="9" t="s">
        <v>307</v>
      </c>
      <c r="E140" s="21" t="s">
        <v>316</v>
      </c>
      <c r="F140" s="10" t="s">
        <v>324</v>
      </c>
      <c r="G140" s="10" t="s">
        <v>1191</v>
      </c>
      <c r="H140" s="22" t="s">
        <v>17</v>
      </c>
    </row>
    <row r="141" spans="2:8" ht="30" x14ac:dyDescent="0.3">
      <c r="B141" s="18" t="str">
        <f>IFERROR(_xlfn.XLOOKUP(D141,'Historias de Usuario'!C:C,'Historias de Usuario'!B:B, "Selecciona una historia"), "")</f>
        <v>Administración Central SIGVE</v>
      </c>
      <c r="C141" s="10" t="str">
        <f>IFERROR(_xlfn.XLOOKUP(D141,'Historias de Usuario'!C:C,'Historias de Usuario'!D:D, "Selecciona una historia"), "")</f>
        <v>Como Admin SIGVE quiero crear un item de catálogo para agregar nuevas opciones al sistema</v>
      </c>
      <c r="D141" s="9" t="s">
        <v>307</v>
      </c>
      <c r="E141" s="21" t="s">
        <v>317</v>
      </c>
      <c r="F141" s="10" t="s">
        <v>154</v>
      </c>
      <c r="G141" s="10" t="s">
        <v>1191</v>
      </c>
      <c r="H141" s="22" t="s">
        <v>17</v>
      </c>
    </row>
    <row r="142" spans="2:8" ht="30" x14ac:dyDescent="0.3">
      <c r="B142" s="18" t="str">
        <f>IFERROR(_xlfn.XLOOKUP(D142,'Historias de Usuario'!C:C,'Historias de Usuario'!B:B, "Selecciona una historia"), "")</f>
        <v>Administración Central SIGVE</v>
      </c>
      <c r="C142" s="10" t="str">
        <f>IFERROR(_xlfn.XLOOKUP(D142,'Historias de Usuario'!C:C,'Historias de Usuario'!D:D, "Selecciona una historia"), "")</f>
        <v>Como Admin SIGVE quiero crear un item de catálogo para agregar nuevas opciones al sistema</v>
      </c>
      <c r="D142" s="9" t="s">
        <v>307</v>
      </c>
      <c r="E142" s="21" t="s">
        <v>318</v>
      </c>
      <c r="F142" s="10" t="s">
        <v>192</v>
      </c>
      <c r="G142" s="10" t="s">
        <v>1191</v>
      </c>
      <c r="H142" s="22" t="s">
        <v>17</v>
      </c>
    </row>
    <row r="143" spans="2:8" ht="43.2" x14ac:dyDescent="0.3">
      <c r="B143" s="18" t="str">
        <f>IFERROR(_xlfn.XLOOKUP(D143,'Historias de Usuario'!C:C,'Historias de Usuario'!B:B, "Selecciona una historia"), "")</f>
        <v>Administración Central SIGVE</v>
      </c>
      <c r="C143" s="10" t="str">
        <f>IFERROR(_xlfn.XLOOKUP(D143,'Historias de Usuario'!C:C,'Historias de Usuario'!D:D, "Selecciona una historia"), "")</f>
        <v>Como Admin SIGVE quiero gestionar catálogos genéricos del sistema para mantener actualizada las listas de opciones</v>
      </c>
      <c r="D143" s="9" t="s">
        <v>321</v>
      </c>
      <c r="E143" s="21" t="s">
        <v>319</v>
      </c>
      <c r="F143" s="10" t="s">
        <v>309</v>
      </c>
      <c r="G143" s="10" t="s">
        <v>1191</v>
      </c>
      <c r="H143" s="22" t="s">
        <v>17</v>
      </c>
    </row>
    <row r="144" spans="2:8" ht="43.2" x14ac:dyDescent="0.3">
      <c r="B144" s="18" t="str">
        <f>IFERROR(_xlfn.XLOOKUP(D144,'Historias de Usuario'!C:C,'Historias de Usuario'!B:B, "Selecciona una historia"), "")</f>
        <v>Administración Central SIGVE</v>
      </c>
      <c r="C144" s="10" t="str">
        <f>IFERROR(_xlfn.XLOOKUP(D144,'Historias de Usuario'!C:C,'Historias de Usuario'!D:D, "Selecciona una historia"), "")</f>
        <v>Como Admin SIGVE quiero gestionar catálogos genéricos del sistema para mantener actualizada las listas de opciones</v>
      </c>
      <c r="D144" s="9" t="s">
        <v>321</v>
      </c>
      <c r="E144" s="21" t="s">
        <v>325</v>
      </c>
      <c r="F144" s="10" t="s">
        <v>314</v>
      </c>
      <c r="G144" s="10" t="s">
        <v>1191</v>
      </c>
      <c r="H144" s="22" t="s">
        <v>17</v>
      </c>
    </row>
    <row r="145" spans="2:8" ht="43.2" x14ac:dyDescent="0.3">
      <c r="B145" s="18" t="str">
        <f>IFERROR(_xlfn.XLOOKUP(D145,'Historias de Usuario'!C:C,'Historias de Usuario'!B:B, "Selecciona una historia"), "")</f>
        <v>Administración Central SIGVE</v>
      </c>
      <c r="C145" s="10" t="str">
        <f>IFERROR(_xlfn.XLOOKUP(D145,'Historias de Usuario'!C:C,'Historias de Usuario'!D:D, "Selecciona una historia"), "")</f>
        <v>Como Admin SIGVE quiero gestionar catálogos genéricos del sistema para mantener actualizada las listas de opciones</v>
      </c>
      <c r="D145" s="9" t="s">
        <v>321</v>
      </c>
      <c r="E145" s="21" t="s">
        <v>326</v>
      </c>
      <c r="F145" s="10" t="s">
        <v>310</v>
      </c>
      <c r="G145" s="10" t="s">
        <v>1191</v>
      </c>
      <c r="H145" s="22" t="s">
        <v>17</v>
      </c>
    </row>
    <row r="146" spans="2:8" ht="43.2" x14ac:dyDescent="0.3">
      <c r="B146" s="20" t="str">
        <f>IFERROR(_xlfn.XLOOKUP(D146,'Historias de Usuario'!C:C,'Historias de Usuario'!B:B, "Selecciona una historia"), "")</f>
        <v>Administración Central SIGVE</v>
      </c>
      <c r="C146" s="21" t="str">
        <f>IFERROR(_xlfn.XLOOKUP(D146,'Historias de Usuario'!C:C,'Historias de Usuario'!D:D, "Selecciona una historia"), "")</f>
        <v>Como Admin SIGVE quiero gestionar catálogos genéricos del sistema para mantener actualizada las listas de opciones</v>
      </c>
      <c r="D146" s="9" t="s">
        <v>321</v>
      </c>
      <c r="E146" s="21" t="s">
        <v>327</v>
      </c>
      <c r="F146" s="21" t="s">
        <v>311</v>
      </c>
      <c r="G146" s="10" t="s">
        <v>1191</v>
      </c>
      <c r="H146" s="22" t="s">
        <v>17</v>
      </c>
    </row>
    <row r="147" spans="2:8" ht="43.2" x14ac:dyDescent="0.3">
      <c r="B147" s="20" t="str">
        <f>IFERROR(_xlfn.XLOOKUP(D147,'Historias de Usuario'!C:C,'Historias de Usuario'!B:B, "Selecciona una historia"), "")</f>
        <v>Administración Central SIGVE</v>
      </c>
      <c r="C147" s="21" t="str">
        <f>IFERROR(_xlfn.XLOOKUP(D147,'Historias de Usuario'!C:C,'Historias de Usuario'!D:D, "Selecciona una historia"), "")</f>
        <v>Como Admin SIGVE quiero gestionar catálogos genéricos del sistema para mantener actualizada las listas de opciones</v>
      </c>
      <c r="D147" s="9" t="s">
        <v>321</v>
      </c>
      <c r="E147" s="21" t="s">
        <v>328</v>
      </c>
      <c r="F147" s="21" t="s">
        <v>312</v>
      </c>
      <c r="G147" s="10" t="s">
        <v>1191</v>
      </c>
      <c r="H147" s="22" t="s">
        <v>17</v>
      </c>
    </row>
    <row r="148" spans="2:8" ht="43.2" x14ac:dyDescent="0.3">
      <c r="B148" s="20" t="str">
        <f>IFERROR(_xlfn.XLOOKUP(D148,'Historias de Usuario'!C:C,'Historias de Usuario'!B:B, "Selecciona una historia"), "")</f>
        <v>Administración Central SIGVE</v>
      </c>
      <c r="C148" s="21" t="str">
        <f>IFERROR(_xlfn.XLOOKUP(D148,'Historias de Usuario'!C:C,'Historias de Usuario'!D:D, "Selecciona una historia"), "")</f>
        <v>Como Admin SIGVE quiero gestionar catálogos genéricos del sistema para mantener actualizada las listas de opciones</v>
      </c>
      <c r="D148" s="9" t="s">
        <v>321</v>
      </c>
      <c r="E148" s="21" t="s">
        <v>329</v>
      </c>
      <c r="F148" s="21" t="s">
        <v>313</v>
      </c>
      <c r="G148" s="10" t="s">
        <v>1191</v>
      </c>
      <c r="H148" s="22" t="s">
        <v>17</v>
      </c>
    </row>
    <row r="149" spans="2:8" ht="30" x14ac:dyDescent="0.3">
      <c r="B149" s="20" t="str">
        <f>IFERROR(_xlfn.XLOOKUP(D149,'Historias de Usuario'!C:C,'Historias de Usuario'!B:B, "Selecciona una historia"), "")</f>
        <v>Administración Central SIGVE</v>
      </c>
      <c r="C149" s="21" t="str">
        <f>IFERROR(_xlfn.XLOOKUP(D149,'Historias de Usuario'!C:C,'Historias de Usuario'!D:D, "Selecciona una historia"), "")</f>
        <v>Como Admin SIGVE quiero editar un item de catálogo para actualizar su información</v>
      </c>
      <c r="D149" s="22" t="s">
        <v>330</v>
      </c>
      <c r="E149" s="21" t="s">
        <v>334</v>
      </c>
      <c r="F149" s="21" t="s">
        <v>332</v>
      </c>
      <c r="G149" s="10" t="s">
        <v>1191</v>
      </c>
      <c r="H149" s="22" t="s">
        <v>17</v>
      </c>
    </row>
    <row r="150" spans="2:8" ht="30" x14ac:dyDescent="0.3">
      <c r="B150" s="20" t="str">
        <f>IFERROR(_xlfn.XLOOKUP(D150,'Historias de Usuario'!C:C,'Historias de Usuario'!B:B, "Selecciona una historia"), "")</f>
        <v>Administración Central SIGVE</v>
      </c>
      <c r="C150" s="21" t="str">
        <f>IFERROR(_xlfn.XLOOKUP(D150,'Historias de Usuario'!C:C,'Historias de Usuario'!D:D, "Selecciona una historia"), "")</f>
        <v>Como Admin SIGVE quiero editar un item de catálogo para actualizar su información</v>
      </c>
      <c r="D150" s="22" t="s">
        <v>330</v>
      </c>
      <c r="E150" s="21" t="s">
        <v>335</v>
      </c>
      <c r="F150" s="21" t="s">
        <v>333</v>
      </c>
      <c r="G150" s="10" t="s">
        <v>1191</v>
      </c>
      <c r="H150" s="22" t="s">
        <v>17</v>
      </c>
    </row>
    <row r="151" spans="2:8" ht="30" x14ac:dyDescent="0.3">
      <c r="B151" s="20" t="str">
        <f>IFERROR(_xlfn.XLOOKUP(D151,'Historias de Usuario'!C:C,'Historias de Usuario'!B:B, "Selecciona una historia"), "")</f>
        <v>Administración Central SIGVE</v>
      </c>
      <c r="C151" s="21" t="str">
        <f>IFERROR(_xlfn.XLOOKUP(D151,'Historias de Usuario'!C:C,'Historias de Usuario'!D:D, "Selecciona una historia"), "")</f>
        <v>Como Admin SIGVE quiero editar un item de catálogo para actualizar su información</v>
      </c>
      <c r="D151" s="22" t="s">
        <v>330</v>
      </c>
      <c r="E151" s="21" t="s">
        <v>336</v>
      </c>
      <c r="F151" s="21" t="s">
        <v>259</v>
      </c>
      <c r="G151" s="10" t="s">
        <v>1191</v>
      </c>
      <c r="H151" s="22" t="s">
        <v>17</v>
      </c>
    </row>
    <row r="152" spans="2:8" ht="30" x14ac:dyDescent="0.3">
      <c r="B152" s="20" t="str">
        <f>IFERROR(_xlfn.XLOOKUP(D152,'Historias de Usuario'!C:C,'Historias de Usuario'!B:B, "Selecciona una historia"), "")</f>
        <v>Administración Central SIGVE</v>
      </c>
      <c r="C152" s="21" t="str">
        <f>IFERROR(_xlfn.XLOOKUP(D152,'Historias de Usuario'!C:C,'Historias de Usuario'!D:D, "Selecciona una historia"), "")</f>
        <v>Como Admin SIGVE quiero editar un item de catálogo para actualizar su información</v>
      </c>
      <c r="D152" s="22" t="s">
        <v>330</v>
      </c>
      <c r="E152" s="21" t="s">
        <v>337</v>
      </c>
      <c r="F152" s="21" t="s">
        <v>171</v>
      </c>
      <c r="G152" s="10" t="s">
        <v>1191</v>
      </c>
      <c r="H152" s="22" t="s">
        <v>17</v>
      </c>
    </row>
    <row r="153" spans="2:8" ht="30" x14ac:dyDescent="0.3">
      <c r="B153" s="18" t="str">
        <f>IFERROR(_xlfn.XLOOKUP(D153,'Historias de Usuario'!C:C,'Historias de Usuario'!B:B, "Selecciona una historia"), "")</f>
        <v>Administración Central SIGVE</v>
      </c>
      <c r="C153" s="10" t="str">
        <f>IFERROR(_xlfn.XLOOKUP(D153,'Historias de Usuario'!C:C,'Historias de Usuario'!D:D, "Selecciona una historia"), "")</f>
        <v>Como Admin SIGVE quiero editar un item de catálogo para actualizar su información</v>
      </c>
      <c r="D153" s="9" t="s">
        <v>330</v>
      </c>
      <c r="E153" s="21" t="s">
        <v>341</v>
      </c>
      <c r="F153" s="10" t="s">
        <v>172</v>
      </c>
      <c r="G153" s="10" t="s">
        <v>1191</v>
      </c>
      <c r="H153" s="22" t="s">
        <v>17</v>
      </c>
    </row>
    <row r="154" spans="2:8" ht="30" x14ac:dyDescent="0.3">
      <c r="B154" s="20" t="str">
        <f>IFERROR(_xlfn.XLOOKUP(D154,'Historias de Usuario'!C:C,'Historias de Usuario'!B:B, "Selecciona una historia"), "")</f>
        <v>Administración Central SIGVE</v>
      </c>
      <c r="C154" s="21" t="str">
        <f>IFERROR(_xlfn.XLOOKUP(D154,'Historias de Usuario'!C:C,'Historias de Usuario'!D:D, "Selecciona una historia"), "")</f>
        <v>Como Admin SIGVE quiero eliminar un item de catálogo para mantener solo opcioens vigentes</v>
      </c>
      <c r="D154" s="22" t="s">
        <v>339</v>
      </c>
      <c r="E154" s="21" t="s">
        <v>342</v>
      </c>
      <c r="F154" s="21" t="s">
        <v>180</v>
      </c>
      <c r="G154" s="10" t="s">
        <v>1191</v>
      </c>
      <c r="H154" s="22" t="s">
        <v>17</v>
      </c>
    </row>
    <row r="155" spans="2:8" ht="30" x14ac:dyDescent="0.3">
      <c r="B155" s="20" t="str">
        <f>IFERROR(_xlfn.XLOOKUP(D155,'Historias de Usuario'!C:C,'Historias de Usuario'!B:B, "Selecciona una historia"), "")</f>
        <v>Administración Central SIGVE</v>
      </c>
      <c r="C155" s="21" t="str">
        <f>IFERROR(_xlfn.XLOOKUP(D155,'Historias de Usuario'!C:C,'Historias de Usuario'!D:D, "Selecciona una historia"), "")</f>
        <v>Como Admin SIGVE quiero eliminar un item de catálogo para mantener solo opcioens vigentes</v>
      </c>
      <c r="D155" s="22" t="s">
        <v>339</v>
      </c>
      <c r="E155" s="21" t="s">
        <v>343</v>
      </c>
      <c r="F155" s="21" t="s">
        <v>340</v>
      </c>
      <c r="G155" s="10" t="s">
        <v>1191</v>
      </c>
      <c r="H155" s="22" t="s">
        <v>17</v>
      </c>
    </row>
    <row r="156" spans="2:8" ht="30" x14ac:dyDescent="0.3">
      <c r="B156" s="20" t="str">
        <f>IFERROR(_xlfn.XLOOKUP(D156,'Historias de Usuario'!C:C,'Historias de Usuario'!B:B, "Selecciona una historia"), "")</f>
        <v>Administración Central SIGVE</v>
      </c>
      <c r="C156" s="21" t="str">
        <f>IFERROR(_xlfn.XLOOKUP(D156,'Historias de Usuario'!C:C,'Historias de Usuario'!D:D, "Selecciona una historia"), "")</f>
        <v>Como Admin SIGVE quiero eliminar un item de catálogo para mantener solo opcioens vigentes</v>
      </c>
      <c r="D156" s="22" t="s">
        <v>339</v>
      </c>
      <c r="E156" s="21" t="s">
        <v>351</v>
      </c>
      <c r="F156" s="21" t="s">
        <v>266</v>
      </c>
      <c r="G156" s="10" t="s">
        <v>1191</v>
      </c>
      <c r="H156" s="22" t="s">
        <v>17</v>
      </c>
    </row>
    <row r="157" spans="2:8" ht="30" x14ac:dyDescent="0.3">
      <c r="B157" s="20" t="str">
        <f>IFERROR(_xlfn.XLOOKUP(D157,'Historias de Usuario'!C:C,'Historias de Usuario'!B:B, "Selecciona una historia"), "")</f>
        <v>Administración Central SIGVE</v>
      </c>
      <c r="C157" s="21" t="str">
        <f>IFERROR(_xlfn.XLOOKUP(D157,'Historias de Usuario'!C:C,'Historias de Usuario'!D:D, "Selecciona una historia"), "")</f>
        <v>Como Admin SIGVE quiero crear un usuario con cualquier rol para dar acceso a nuevos miembros del sistema</v>
      </c>
      <c r="D157" s="22" t="s">
        <v>345</v>
      </c>
      <c r="E157" s="21" t="s">
        <v>352</v>
      </c>
      <c r="F157" s="21" t="s">
        <v>360</v>
      </c>
      <c r="G157" s="10" t="s">
        <v>1191</v>
      </c>
      <c r="H157" s="22" t="s">
        <v>17</v>
      </c>
    </row>
    <row r="158" spans="2:8" ht="30" x14ac:dyDescent="0.3">
      <c r="B158" s="20" t="str">
        <f>IFERROR(_xlfn.XLOOKUP(D158,'Historias de Usuario'!C:C,'Historias de Usuario'!B:B, "Selecciona una historia"), "")</f>
        <v>Administración Central SIGVE</v>
      </c>
      <c r="C158" s="21" t="str">
        <f>IFERROR(_xlfn.XLOOKUP(D158,'Historias de Usuario'!C:C,'Historias de Usuario'!D:D, "Selecciona una historia"), "")</f>
        <v>Como Admin SIGVE quiero crear un usuario con cualquier rol para dar acceso a nuevos miembros del sistema</v>
      </c>
      <c r="D158" s="22" t="s">
        <v>345</v>
      </c>
      <c r="E158" s="21" t="s">
        <v>353</v>
      </c>
      <c r="F158" s="21" t="s">
        <v>361</v>
      </c>
      <c r="G158" s="10" t="s">
        <v>1191</v>
      </c>
      <c r="H158" s="22" t="s">
        <v>17</v>
      </c>
    </row>
    <row r="159" spans="2:8" ht="30" x14ac:dyDescent="0.3">
      <c r="B159" s="20" t="str">
        <f>IFERROR(_xlfn.XLOOKUP(D159,'Historias de Usuario'!C:C,'Historias de Usuario'!B:B, "Selecciona una historia"), "")</f>
        <v>Administración Central SIGVE</v>
      </c>
      <c r="C159" s="21" t="str">
        <f>IFERROR(_xlfn.XLOOKUP(D159,'Historias de Usuario'!C:C,'Historias de Usuario'!D:D, "Selecciona una historia"), "")</f>
        <v>Como Admin SIGVE quiero crear un usuario con cualquier rol para dar acceso a nuevos miembros del sistema</v>
      </c>
      <c r="D159" s="22" t="s">
        <v>345</v>
      </c>
      <c r="E159" s="21" t="s">
        <v>354</v>
      </c>
      <c r="F159" s="21" t="s">
        <v>362</v>
      </c>
      <c r="G159" s="10" t="s">
        <v>1191</v>
      </c>
      <c r="H159" s="22" t="s">
        <v>17</v>
      </c>
    </row>
    <row r="160" spans="2:8" ht="30" x14ac:dyDescent="0.3">
      <c r="B160" s="20" t="str">
        <f>IFERROR(_xlfn.XLOOKUP(D160,'Historias de Usuario'!C:C,'Historias de Usuario'!B:B, "Selecciona una historia"), "")</f>
        <v>Administración Central SIGVE</v>
      </c>
      <c r="C160" s="21" t="str">
        <f>IFERROR(_xlfn.XLOOKUP(D160,'Historias de Usuario'!C:C,'Historias de Usuario'!D:D, "Selecciona una historia"), "")</f>
        <v>Como Admin SIGVE quiero crear un usuario con cualquier rol para dar acceso a nuevos miembros del sistema</v>
      </c>
      <c r="D160" s="22" t="s">
        <v>345</v>
      </c>
      <c r="E160" s="21" t="s">
        <v>355</v>
      </c>
      <c r="F160" s="21" t="s">
        <v>363</v>
      </c>
      <c r="G160" s="10" t="s">
        <v>1191</v>
      </c>
      <c r="H160" s="22" t="s">
        <v>17</v>
      </c>
    </row>
    <row r="161" spans="2:8" ht="30" x14ac:dyDescent="0.3">
      <c r="B161" s="20" t="str">
        <f>IFERROR(_xlfn.XLOOKUP(D161,'Historias de Usuario'!C:C,'Historias de Usuario'!B:B, "Selecciona una historia"), "")</f>
        <v>Administración Central SIGVE</v>
      </c>
      <c r="C161" s="21" t="str">
        <f>IFERROR(_xlfn.XLOOKUP(D161,'Historias de Usuario'!C:C,'Historias de Usuario'!D:D, "Selecciona una historia"), "")</f>
        <v>Como Admin SIGVE quiero crear un usuario con cualquier rol para dar acceso a nuevos miembros del sistema</v>
      </c>
      <c r="D161" s="22" t="s">
        <v>345</v>
      </c>
      <c r="E161" s="21" t="s">
        <v>356</v>
      </c>
      <c r="F161" s="21" t="s">
        <v>364</v>
      </c>
      <c r="G161" s="10" t="s">
        <v>1191</v>
      </c>
      <c r="H161" s="22" t="s">
        <v>17</v>
      </c>
    </row>
    <row r="162" spans="2:8" ht="30" x14ac:dyDescent="0.3">
      <c r="B162" s="20" t="str">
        <f>IFERROR(_xlfn.XLOOKUP(D162,'Historias de Usuario'!C:C,'Historias de Usuario'!B:B, "Selecciona una historia"), "")</f>
        <v>Administración Central SIGVE</v>
      </c>
      <c r="C162" s="21" t="str">
        <f>IFERROR(_xlfn.XLOOKUP(D162,'Historias de Usuario'!C:C,'Historias de Usuario'!D:D, "Selecciona una historia"), "")</f>
        <v>Como Admin SIGVE quiero crear un usuario con cualquier rol para dar acceso a nuevos miembros del sistema</v>
      </c>
      <c r="D162" s="22" t="s">
        <v>345</v>
      </c>
      <c r="E162" s="21" t="s">
        <v>357</v>
      </c>
      <c r="F162" s="21" t="s">
        <v>365</v>
      </c>
      <c r="G162" s="10" t="s">
        <v>1191</v>
      </c>
      <c r="H162" s="22" t="s">
        <v>17</v>
      </c>
    </row>
    <row r="163" spans="2:8" ht="30" x14ac:dyDescent="0.3">
      <c r="B163" s="20" t="str">
        <f>IFERROR(_xlfn.XLOOKUP(D163,'Historias de Usuario'!C:C,'Historias de Usuario'!B:B, "Selecciona una historia"), "")</f>
        <v>Administración Central SIGVE</v>
      </c>
      <c r="C163" s="21" t="str">
        <f>IFERROR(_xlfn.XLOOKUP(D163,'Historias de Usuario'!C:C,'Historias de Usuario'!D:D, "Selecciona una historia"), "")</f>
        <v>Como Admin SIGVE quiero crear un usuario con cualquier rol para dar acceso a nuevos miembros del sistema</v>
      </c>
      <c r="D163" s="9" t="s">
        <v>345</v>
      </c>
      <c r="E163" s="21" t="s">
        <v>375</v>
      </c>
      <c r="F163" s="10" t="s">
        <v>366</v>
      </c>
      <c r="G163" s="10" t="s">
        <v>1191</v>
      </c>
      <c r="H163" s="22" t="s">
        <v>17</v>
      </c>
    </row>
    <row r="164" spans="2:8" ht="30" x14ac:dyDescent="0.3">
      <c r="B164" s="18" t="str">
        <f>IFERROR(_xlfn.XLOOKUP(D164,'Historias de Usuario'!C:C,'Historias de Usuario'!B:B, "Selecciona una historia"), "")</f>
        <v>Administración Central SIGVE</v>
      </c>
      <c r="C164" s="10" t="str">
        <f>IFERROR(_xlfn.XLOOKUP(D164,'Historias de Usuario'!C:C,'Historias de Usuario'!D:D, "Selecciona una historia"), "")</f>
        <v>Como Admin SIGVE quiero crear un usuario con cualquier rol para dar acceso a nuevos miembros del sistema</v>
      </c>
      <c r="D164" s="9" t="s">
        <v>345</v>
      </c>
      <c r="E164" s="21" t="s">
        <v>376</v>
      </c>
      <c r="F164" s="10" t="s">
        <v>152</v>
      </c>
      <c r="G164" s="10" t="s">
        <v>1191</v>
      </c>
      <c r="H164" s="9" t="s">
        <v>17</v>
      </c>
    </row>
    <row r="165" spans="2:8" ht="30" x14ac:dyDescent="0.3">
      <c r="B165" s="18" t="str">
        <f>IFERROR(_xlfn.XLOOKUP(D165,'Historias de Usuario'!C:C,'Historias de Usuario'!B:B, "Selecciona una historia"), "")</f>
        <v>Administración Central SIGVE</v>
      </c>
      <c r="C165" s="10" t="str">
        <f>IFERROR(_xlfn.XLOOKUP(D165,'Historias de Usuario'!C:C,'Historias de Usuario'!D:D, "Selecciona una historia"), "")</f>
        <v>Como Admin SIGVE quiero crear un usuario con cualquier rol para dar acceso a nuevos miembros del sistema</v>
      </c>
      <c r="D165" s="9" t="s">
        <v>345</v>
      </c>
      <c r="E165" s="21" t="s">
        <v>377</v>
      </c>
      <c r="F165" s="10" t="s">
        <v>367</v>
      </c>
      <c r="G165" s="10" t="s">
        <v>1191</v>
      </c>
      <c r="H165" s="9" t="s">
        <v>17</v>
      </c>
    </row>
    <row r="166" spans="2:8" ht="30" x14ac:dyDescent="0.3">
      <c r="B166" s="18" t="str">
        <f>IFERROR(_xlfn.XLOOKUP(D166,'Historias de Usuario'!C:C,'Historias de Usuario'!B:B, "Selecciona una historia"), "")</f>
        <v>Administración Central SIGVE</v>
      </c>
      <c r="C166" s="10" t="str">
        <f>IFERROR(_xlfn.XLOOKUP(D166,'Historias de Usuario'!C:C,'Historias de Usuario'!D:D, "Selecciona una historia"), "")</f>
        <v>Como Admin SIGVE quiero crear un usuario con cualquier rol para dar acceso a nuevos miembros del sistema</v>
      </c>
      <c r="D166" s="9" t="s">
        <v>345</v>
      </c>
      <c r="E166" s="21" t="s">
        <v>378</v>
      </c>
      <c r="F166" s="10" t="s">
        <v>368</v>
      </c>
      <c r="G166" s="10" t="s">
        <v>1191</v>
      </c>
      <c r="H166" s="9" t="s">
        <v>17</v>
      </c>
    </row>
    <row r="167" spans="2:8" ht="30" x14ac:dyDescent="0.3">
      <c r="B167" s="18" t="str">
        <f>IFERROR(_xlfn.XLOOKUP(D167,'Historias de Usuario'!C:C,'Historias de Usuario'!B:B, "Selecciona una historia"), "")</f>
        <v>Administración Central SIGVE</v>
      </c>
      <c r="C167" s="10" t="str">
        <f>IFERROR(_xlfn.XLOOKUP(D167,'Historias de Usuario'!C:C,'Historias de Usuario'!D:D, "Selecciona una historia"), "")</f>
        <v>Como Admin SIGVE quiero crear un usuario con cualquier rol para dar acceso a nuevos miembros del sistema</v>
      </c>
      <c r="D167" s="9" t="s">
        <v>345</v>
      </c>
      <c r="E167" s="21" t="s">
        <v>379</v>
      </c>
      <c r="F167" s="10" t="s">
        <v>369</v>
      </c>
      <c r="G167" s="10" t="s">
        <v>1191</v>
      </c>
      <c r="H167" s="9" t="s">
        <v>17</v>
      </c>
    </row>
    <row r="168" spans="2:8" ht="30" x14ac:dyDescent="0.3">
      <c r="B168" s="18" t="str">
        <f>IFERROR(_xlfn.XLOOKUP(D168,'Historias de Usuario'!C:C,'Historias de Usuario'!B:B, "Selecciona una historia"), "")</f>
        <v>Administración Central SIGVE</v>
      </c>
      <c r="C168" s="10" t="str">
        <f>IFERROR(_xlfn.XLOOKUP(D168,'Historias de Usuario'!C:C,'Historias de Usuario'!D:D, "Selecciona una historia"), "")</f>
        <v>Como Admin SIGVE quiero crear un usuario con cualquier rol para dar acceso a nuevos miembros del sistema</v>
      </c>
      <c r="D168" s="9" t="s">
        <v>345</v>
      </c>
      <c r="E168" s="21" t="s">
        <v>380</v>
      </c>
      <c r="F168" s="10" t="s">
        <v>370</v>
      </c>
      <c r="G168" s="10" t="s">
        <v>1191</v>
      </c>
      <c r="H168" s="9" t="s">
        <v>17</v>
      </c>
    </row>
    <row r="169" spans="2:8" ht="30" x14ac:dyDescent="0.3">
      <c r="B169" s="20" t="str">
        <f>IFERROR(_xlfn.XLOOKUP(D169,'Historias de Usuario'!C:C,'Historias de Usuario'!B:B, "Selecciona una historia"), "")</f>
        <v>Administración Central SIGVE</v>
      </c>
      <c r="C169" s="21" t="str">
        <f>IFERROR(_xlfn.XLOOKUP(D169,'Historias de Usuario'!C:C,'Historias de Usuario'!D:D, "Selecciona una historia"), "")</f>
        <v>Como Admin SIGVE quiero crear un usuario con cualquier rol para dar acceso a nuevos miembros del sistema</v>
      </c>
      <c r="D169" s="9" t="s">
        <v>345</v>
      </c>
      <c r="E169" s="21" t="s">
        <v>381</v>
      </c>
      <c r="F169" s="21" t="s">
        <v>371</v>
      </c>
      <c r="G169" s="10" t="s">
        <v>1191</v>
      </c>
      <c r="H169" s="22" t="s">
        <v>17</v>
      </c>
    </row>
    <row r="170" spans="2:8" ht="30" x14ac:dyDescent="0.3">
      <c r="B170" s="18" t="str">
        <f>IFERROR(_xlfn.XLOOKUP(D170,'Historias de Usuario'!C:C,'Historias de Usuario'!B:B, "Selecciona una historia"), "")</f>
        <v>Administración Central SIGVE</v>
      </c>
      <c r="C170" s="10" t="str">
        <f>IFERROR(_xlfn.XLOOKUP(D170,'Historias de Usuario'!C:C,'Historias de Usuario'!D:D, "Selecciona una historia"), "")</f>
        <v>Como Admin SIGVE quiero crear un usuario con cualquier rol para dar acceso a nuevos miembros del sistema</v>
      </c>
      <c r="D170" s="9" t="s">
        <v>345</v>
      </c>
      <c r="E170" s="21" t="s">
        <v>382</v>
      </c>
      <c r="F170" s="21" t="s">
        <v>372</v>
      </c>
      <c r="G170" s="10" t="s">
        <v>1191</v>
      </c>
      <c r="H170" s="9" t="s">
        <v>17</v>
      </c>
    </row>
    <row r="171" spans="2:8" ht="30" x14ac:dyDescent="0.3">
      <c r="B171" s="18" t="str">
        <f>IFERROR(_xlfn.XLOOKUP(D171,'Historias de Usuario'!C:C,'Historias de Usuario'!B:B, "Selecciona una historia"), "")</f>
        <v>Administración Central SIGVE</v>
      </c>
      <c r="C171" s="10" t="str">
        <f>IFERROR(_xlfn.XLOOKUP(D171,'Historias de Usuario'!C:C,'Historias de Usuario'!D:D, "Selecciona una historia"), "")</f>
        <v>Como Admin SIGVE quiero crear un usuario con cualquier rol para dar acceso a nuevos miembros del sistema</v>
      </c>
      <c r="D171" s="9" t="s">
        <v>345</v>
      </c>
      <c r="E171" s="21" t="s">
        <v>383</v>
      </c>
      <c r="F171" s="21" t="s">
        <v>373</v>
      </c>
      <c r="G171" s="10" t="s">
        <v>1191</v>
      </c>
      <c r="H171" s="9" t="s">
        <v>17</v>
      </c>
    </row>
    <row r="172" spans="2:8" ht="30" x14ac:dyDescent="0.3">
      <c r="B172" s="18" t="str">
        <f>IFERROR(_xlfn.XLOOKUP(D172,'Historias de Usuario'!C:C,'Historias de Usuario'!B:B, "Selecciona una historia"), "")</f>
        <v>Administración Central SIGVE</v>
      </c>
      <c r="C172" s="10" t="str">
        <f>IFERROR(_xlfn.XLOOKUP(D172,'Historias de Usuario'!C:C,'Historias de Usuario'!D:D, "Selecciona una historia"), "")</f>
        <v>Como Admin SIGVE quiero crear un usuario con cualquier rol para dar acceso a nuevos miembros del sistema</v>
      </c>
      <c r="D172" s="9" t="s">
        <v>345</v>
      </c>
      <c r="E172" s="21" t="s">
        <v>384</v>
      </c>
      <c r="F172" s="21" t="s">
        <v>374</v>
      </c>
      <c r="G172" s="10" t="s">
        <v>1191</v>
      </c>
      <c r="H172" s="9" t="s">
        <v>17</v>
      </c>
    </row>
    <row r="173" spans="2:8" ht="30" x14ac:dyDescent="0.3">
      <c r="B173" s="18" t="str">
        <f>IFERROR(_xlfn.XLOOKUP(D173,'Historias de Usuario'!C:C,'Historias de Usuario'!B:B, "Selecciona una historia"), "")</f>
        <v>Administración Central SIGVE</v>
      </c>
      <c r="C173" s="10" t="str">
        <f>IFERROR(_xlfn.XLOOKUP(D173,'Historias de Usuario'!C:C,'Historias de Usuario'!D:D, "Selecciona una historia"), "")</f>
        <v>Como Admin SIGVE quiero crear un usuario con cualquier rol para dar acceso a nuevos miembros del sistema</v>
      </c>
      <c r="D173" s="9" t="s">
        <v>345</v>
      </c>
      <c r="E173" s="21" t="s">
        <v>385</v>
      </c>
      <c r="F173" s="21" t="s">
        <v>192</v>
      </c>
      <c r="G173" s="10" t="s">
        <v>1191</v>
      </c>
      <c r="H173" s="9" t="s">
        <v>17</v>
      </c>
    </row>
    <row r="174" spans="2:8" ht="30" x14ac:dyDescent="0.3">
      <c r="B174" s="18" t="str">
        <f>IFERROR(_xlfn.XLOOKUP(D174,'Historias de Usuario'!C:C,'Historias de Usuario'!B:B, "Selecciona una historia"), "")</f>
        <v>Administración Central SIGVE</v>
      </c>
      <c r="C174" s="10" t="str">
        <f>IFERROR(_xlfn.XLOOKUP(D174,'Historias de Usuario'!C:C,'Historias de Usuario'!D:D, "Selecciona una historia"), "")</f>
        <v>Como Admin SIGVE quier gestionar todos los usuarios del sistema para controlar accesos y roles</v>
      </c>
      <c r="D174" s="9" t="s">
        <v>358</v>
      </c>
      <c r="E174" s="21" t="s">
        <v>386</v>
      </c>
      <c r="F174" s="21" t="s">
        <v>346</v>
      </c>
      <c r="G174" s="10" t="s">
        <v>1191</v>
      </c>
      <c r="H174" s="9" t="s">
        <v>17</v>
      </c>
    </row>
    <row r="175" spans="2:8" ht="30" x14ac:dyDescent="0.3">
      <c r="B175" s="20" t="str">
        <f>IFERROR(_xlfn.XLOOKUP(D175,'Historias de Usuario'!C:C,'Historias de Usuario'!B:B, "Selecciona una historia"), "")</f>
        <v>Administración Central SIGVE</v>
      </c>
      <c r="C175" s="21" t="str">
        <f>IFERROR(_xlfn.XLOOKUP(D175,'Historias de Usuario'!C:C,'Historias de Usuario'!D:D, "Selecciona una historia"), "")</f>
        <v>Como Admin SIGVE quier gestionar todos los usuarios del sistema para controlar accesos y roles</v>
      </c>
      <c r="D175" s="9" t="s">
        <v>358</v>
      </c>
      <c r="E175" s="21" t="s">
        <v>387</v>
      </c>
      <c r="F175" s="10" t="s">
        <v>347</v>
      </c>
      <c r="G175" s="10" t="s">
        <v>1191</v>
      </c>
      <c r="H175" s="22" t="s">
        <v>17</v>
      </c>
    </row>
    <row r="176" spans="2:8" ht="30" x14ac:dyDescent="0.3">
      <c r="B176" s="18" t="str">
        <f>IFERROR(_xlfn.XLOOKUP(D176,'Historias de Usuario'!C:C,'Historias de Usuario'!B:B, "Selecciona una historia"), "")</f>
        <v>Administración Central SIGVE</v>
      </c>
      <c r="C176" s="10" t="str">
        <f>IFERROR(_xlfn.XLOOKUP(D176,'Historias de Usuario'!C:C,'Historias de Usuario'!D:D, "Selecciona una historia"), "")</f>
        <v>Como Admin SIGVE quier gestionar todos los usuarios del sistema para controlar accesos y roles</v>
      </c>
      <c r="D176" s="9" t="s">
        <v>358</v>
      </c>
      <c r="E176" s="21" t="s">
        <v>388</v>
      </c>
      <c r="F176" s="10" t="s">
        <v>348</v>
      </c>
      <c r="G176" s="10" t="s">
        <v>1191</v>
      </c>
      <c r="H176" s="9" t="s">
        <v>17</v>
      </c>
    </row>
    <row r="177" spans="2:8" ht="30" x14ac:dyDescent="0.3">
      <c r="B177" s="18" t="str">
        <f>IFERROR(_xlfn.XLOOKUP(D177,'Historias de Usuario'!C:C,'Historias de Usuario'!B:B, "Selecciona una historia"), "")</f>
        <v>Administración Central SIGVE</v>
      </c>
      <c r="C177" s="10" t="str">
        <f>IFERROR(_xlfn.XLOOKUP(D177,'Historias de Usuario'!C:C,'Historias de Usuario'!D:D, "Selecciona una historia"), "")</f>
        <v>Como Admin SIGVE quier gestionar todos los usuarios del sistema para controlar accesos y roles</v>
      </c>
      <c r="D177" s="9" t="s">
        <v>358</v>
      </c>
      <c r="E177" s="21" t="s">
        <v>389</v>
      </c>
      <c r="F177" s="10" t="s">
        <v>230</v>
      </c>
      <c r="G177" s="10" t="s">
        <v>1191</v>
      </c>
      <c r="H177" s="9" t="s">
        <v>17</v>
      </c>
    </row>
    <row r="178" spans="2:8" ht="30" x14ac:dyDescent="0.3">
      <c r="B178" s="18" t="str">
        <f>IFERROR(_xlfn.XLOOKUP(D178,'Historias de Usuario'!C:C,'Historias de Usuario'!B:B, "Selecciona una historia"), "")</f>
        <v>Administración Central SIGVE</v>
      </c>
      <c r="C178" s="10" t="str">
        <f>IFERROR(_xlfn.XLOOKUP(D178,'Historias de Usuario'!C:C,'Historias de Usuario'!D:D, "Selecciona una historia"), "")</f>
        <v>Como Admin SIGVE quier gestionar todos los usuarios del sistema para controlar accesos y roles</v>
      </c>
      <c r="D178" s="9" t="s">
        <v>358</v>
      </c>
      <c r="E178" s="21" t="s">
        <v>390</v>
      </c>
      <c r="F178" s="10" t="s">
        <v>349</v>
      </c>
      <c r="G178" s="10" t="s">
        <v>1191</v>
      </c>
      <c r="H178" s="9" t="s">
        <v>17</v>
      </c>
    </row>
    <row r="179" spans="2:8" ht="30" x14ac:dyDescent="0.3">
      <c r="B179" s="18" t="str">
        <f>IFERROR(_xlfn.XLOOKUP(D179,'Historias de Usuario'!C:C,'Historias de Usuario'!B:B, "Selecciona una historia"), "")</f>
        <v>Administración Central SIGVE</v>
      </c>
      <c r="C179" s="10" t="str">
        <f>IFERROR(_xlfn.XLOOKUP(D179,'Historias de Usuario'!C:C,'Historias de Usuario'!D:D, "Selecciona una historia"), "")</f>
        <v>Como Admin SIGVE quier gestionar todos los usuarios del sistema para controlar accesos y roles</v>
      </c>
      <c r="D179" s="9" t="s">
        <v>358</v>
      </c>
      <c r="E179" s="21" t="s">
        <v>391</v>
      </c>
      <c r="F179" s="10" t="s">
        <v>350</v>
      </c>
      <c r="G179" s="10" t="s">
        <v>1191</v>
      </c>
      <c r="H179" s="9" t="s">
        <v>17</v>
      </c>
    </row>
    <row r="180" spans="2:8" ht="30" x14ac:dyDescent="0.3">
      <c r="B180" s="18" t="str">
        <f>IFERROR(_xlfn.XLOOKUP(D180,'Historias de Usuario'!C:C,'Historias de Usuario'!B:B, "Selecciona una historia"), "")</f>
        <v>Administración Central SIGVE</v>
      </c>
      <c r="C180" s="10" t="str">
        <f>IFERROR(_xlfn.XLOOKUP(D180,'Historias de Usuario'!C:C,'Historias de Usuario'!D:D, "Selecciona una historia"), "")</f>
        <v>Como Admin SIGVE quiero editar información de cualquier usuario para actualizar sus datos o cambiar su rol</v>
      </c>
      <c r="D180" s="9" t="s">
        <v>394</v>
      </c>
      <c r="E180" s="21" t="s">
        <v>392</v>
      </c>
      <c r="F180" s="21" t="s">
        <v>409</v>
      </c>
      <c r="G180" s="10" t="s">
        <v>1191</v>
      </c>
      <c r="H180" s="9" t="s">
        <v>17</v>
      </c>
    </row>
    <row r="181" spans="2:8" ht="30" x14ac:dyDescent="0.3">
      <c r="B181" s="20" t="str">
        <f>IFERROR(_xlfn.XLOOKUP(D181,'Historias de Usuario'!C:C,'Historias de Usuario'!B:B, "Selecciona una historia"), "")</f>
        <v>Administración Central SIGVE</v>
      </c>
      <c r="C181" s="21" t="str">
        <f>IFERROR(_xlfn.XLOOKUP(D181,'Historias de Usuario'!C:C,'Historias de Usuario'!D:D, "Selecciona una historia"), "")</f>
        <v>Como Admin SIGVE quiero editar información de cualquier usuario para actualizar sus datos o cambiar su rol</v>
      </c>
      <c r="D181" s="9" t="s">
        <v>394</v>
      </c>
      <c r="E181" s="21" t="s">
        <v>398</v>
      </c>
      <c r="F181" s="21" t="s">
        <v>395</v>
      </c>
      <c r="G181" s="10" t="s">
        <v>1191</v>
      </c>
      <c r="H181" s="22" t="s">
        <v>17</v>
      </c>
    </row>
    <row r="182" spans="2:8" ht="30" x14ac:dyDescent="0.3">
      <c r="B182" s="20" t="str">
        <f>IFERROR(_xlfn.XLOOKUP(D182,'Historias de Usuario'!C:C,'Historias de Usuario'!B:B, "Selecciona una historia"), "")</f>
        <v>Administración Central SIGVE</v>
      </c>
      <c r="C182" s="21" t="str">
        <f>IFERROR(_xlfn.XLOOKUP(D182,'Historias de Usuario'!C:C,'Historias de Usuario'!D:D, "Selecciona una historia"), "")</f>
        <v>Como Admin SIGVE quiero editar información de cualquier usuario para actualizar sus datos o cambiar su rol</v>
      </c>
      <c r="D182" s="9" t="s">
        <v>394</v>
      </c>
      <c r="E182" s="21" t="s">
        <v>399</v>
      </c>
      <c r="F182" s="21" t="s">
        <v>396</v>
      </c>
      <c r="G182" s="10" t="s">
        <v>1191</v>
      </c>
      <c r="H182" s="22" t="s">
        <v>17</v>
      </c>
    </row>
    <row r="183" spans="2:8" ht="30" x14ac:dyDescent="0.3">
      <c r="B183" s="20" t="str">
        <f>IFERROR(_xlfn.XLOOKUP(D183,'Historias de Usuario'!C:C,'Historias de Usuario'!B:B, "Selecciona una historia"), "")</f>
        <v>Administración Central SIGVE</v>
      </c>
      <c r="C183" s="21" t="str">
        <f>IFERROR(_xlfn.XLOOKUP(D183,'Historias de Usuario'!C:C,'Historias de Usuario'!D:D, "Selecciona una historia"), "")</f>
        <v>Como Admin SIGVE quiero editar información de cualquier usuario para actualizar sus datos o cambiar su rol</v>
      </c>
      <c r="D183" s="9" t="s">
        <v>394</v>
      </c>
      <c r="E183" s="21" t="s">
        <v>400</v>
      </c>
      <c r="F183" s="21" t="s">
        <v>397</v>
      </c>
      <c r="G183" s="10" t="s">
        <v>1191</v>
      </c>
      <c r="H183" s="22" t="s">
        <v>17</v>
      </c>
    </row>
    <row r="184" spans="2:8" ht="30" x14ac:dyDescent="0.3">
      <c r="B184" s="20" t="str">
        <f>IFERROR(_xlfn.XLOOKUP(D184,'Historias de Usuario'!C:C,'Historias de Usuario'!B:B, "Selecciona una historia"), "")</f>
        <v>Administración Central SIGVE</v>
      </c>
      <c r="C184" s="21" t="str">
        <f>IFERROR(_xlfn.XLOOKUP(D184,'Historias de Usuario'!C:C,'Historias de Usuario'!D:D, "Selecciona una historia"), "")</f>
        <v>Como Admin SIGVE quiero editar información de cualquier usuario para actualizar sus datos o cambiar su rol</v>
      </c>
      <c r="D184" s="9" t="s">
        <v>394</v>
      </c>
      <c r="E184" s="21" t="s">
        <v>401</v>
      </c>
      <c r="F184" s="21" t="s">
        <v>370</v>
      </c>
      <c r="G184" s="10" t="s">
        <v>1191</v>
      </c>
      <c r="H184" s="22" t="s">
        <v>17</v>
      </c>
    </row>
    <row r="185" spans="2:8" ht="30" x14ac:dyDescent="0.3">
      <c r="B185" s="20" t="str">
        <f>IFERROR(_xlfn.XLOOKUP(D185,'Historias de Usuario'!C:C,'Historias de Usuario'!B:B, "Selecciona una historia"), "")</f>
        <v>Administración Central SIGVE</v>
      </c>
      <c r="C185" s="21" t="str">
        <f>IFERROR(_xlfn.XLOOKUP(D185,'Historias de Usuario'!C:C,'Historias de Usuario'!D:D, "Selecciona una historia"), "")</f>
        <v>Como Admin SIGVE quiero editar información de cualquier usuario para actualizar sus datos o cambiar su rol</v>
      </c>
      <c r="D185" s="9" t="s">
        <v>394</v>
      </c>
      <c r="E185" s="21" t="s">
        <v>402</v>
      </c>
      <c r="F185" s="21" t="s">
        <v>259</v>
      </c>
      <c r="G185" s="10" t="s">
        <v>1191</v>
      </c>
      <c r="H185" s="22" t="s">
        <v>17</v>
      </c>
    </row>
    <row r="186" spans="2:8" ht="30" x14ac:dyDescent="0.3">
      <c r="B186" s="20" t="str">
        <f>IFERROR(_xlfn.XLOOKUP(D186,'Historias de Usuario'!C:C,'Historias de Usuario'!B:B, "Selecciona una historia"), "")</f>
        <v>Administración Central SIGVE</v>
      </c>
      <c r="C186" s="21" t="str">
        <f>IFERROR(_xlfn.XLOOKUP(D186,'Historias de Usuario'!C:C,'Historias de Usuario'!D:D, "Selecciona una historia"), "")</f>
        <v>Como Admin SIGVE quiero editar información de cualquier usuario para actualizar sus datos o cambiar su rol</v>
      </c>
      <c r="D186" s="9" t="s">
        <v>394</v>
      </c>
      <c r="E186" s="21" t="s">
        <v>403</v>
      </c>
      <c r="F186" s="21" t="s">
        <v>171</v>
      </c>
      <c r="G186" s="10" t="s">
        <v>1191</v>
      </c>
      <c r="H186" s="22" t="s">
        <v>17</v>
      </c>
    </row>
    <row r="187" spans="2:8" ht="30" x14ac:dyDescent="0.3">
      <c r="B187" s="20" t="str">
        <f>IFERROR(_xlfn.XLOOKUP(D187,'Historias de Usuario'!C:C,'Historias de Usuario'!B:B, "Selecciona una historia"), "")</f>
        <v>Administración Central SIGVE</v>
      </c>
      <c r="C187" s="21" t="str">
        <f>IFERROR(_xlfn.XLOOKUP(D187,'Historias de Usuario'!C:C,'Historias de Usuario'!D:D, "Selecciona una historia"), "")</f>
        <v>Como Admin SIGVE quiero editar información de cualquier usuario para actualizar sus datos o cambiar su rol</v>
      </c>
      <c r="D187" s="9" t="s">
        <v>394</v>
      </c>
      <c r="E187" s="21" t="s">
        <v>404</v>
      </c>
      <c r="F187" s="21" t="s">
        <v>172</v>
      </c>
      <c r="G187" s="10" t="s">
        <v>1191</v>
      </c>
      <c r="H187" s="22" t="s">
        <v>17</v>
      </c>
    </row>
    <row r="188" spans="2:8" ht="30" x14ac:dyDescent="0.3">
      <c r="B188" s="20" t="str">
        <f>IFERROR(_xlfn.XLOOKUP(D188,'Historias de Usuario'!C:C,'Historias de Usuario'!B:B, "Selecciona una historia"), "")</f>
        <v>Administración Central SIGVE</v>
      </c>
      <c r="C188" s="21" t="str">
        <f>IFERROR(_xlfn.XLOOKUP(D188,'Historias de Usuario'!C:C,'Historias de Usuario'!D:D, "Selecciona una historia"), "")</f>
        <v>Como Admin SIGVE quiero desactivar o activar usuarios para controlar accesos sin eliminar cuentas</v>
      </c>
      <c r="D188" s="22" t="s">
        <v>406</v>
      </c>
      <c r="E188" s="21" t="s">
        <v>407</v>
      </c>
      <c r="F188" s="21" t="s">
        <v>408</v>
      </c>
      <c r="G188" s="10" t="s">
        <v>1191</v>
      </c>
      <c r="H188" s="22" t="s">
        <v>17</v>
      </c>
    </row>
    <row r="189" spans="2:8" ht="30" x14ac:dyDescent="0.3">
      <c r="B189" s="20" t="str">
        <f>IFERROR(_xlfn.XLOOKUP(D189,'Historias de Usuario'!C:C,'Historias de Usuario'!B:B, "Selecciona una historia"), "")</f>
        <v>Administración Central SIGVE</v>
      </c>
      <c r="C189" s="21" t="str">
        <f>IFERROR(_xlfn.XLOOKUP(D189,'Historias de Usuario'!C:C,'Historias de Usuario'!D:D, "Selecciona una historia"), "")</f>
        <v>Como Admin SIGVE quiero desactivar o activar usuarios para controlar accesos sin eliminar cuentas</v>
      </c>
      <c r="D189" s="22" t="s">
        <v>406</v>
      </c>
      <c r="E189" s="21" t="s">
        <v>411</v>
      </c>
      <c r="F189" s="21" t="s">
        <v>410</v>
      </c>
      <c r="G189" s="10" t="s">
        <v>1191</v>
      </c>
      <c r="H189" s="22" t="s">
        <v>17</v>
      </c>
    </row>
    <row r="190" spans="2:8" ht="30" x14ac:dyDescent="0.3">
      <c r="B190" s="20" t="str">
        <f>IFERROR(_xlfn.XLOOKUP(D190,'Historias de Usuario'!C:C,'Historias de Usuario'!B:B, "Selecciona una historia"), "")</f>
        <v>Administración Central SIGVE</v>
      </c>
      <c r="C190" s="21" t="str">
        <f>IFERROR(_xlfn.XLOOKUP(D190,'Historias de Usuario'!C:C,'Historias de Usuario'!D:D, "Selecciona una historia"), "")</f>
        <v>Como Admin SIGVE quiero desactivar o activar usuarios para controlar accesos sin eliminar cuentas</v>
      </c>
      <c r="D190" s="22" t="s">
        <v>406</v>
      </c>
      <c r="E190" s="21" t="s">
        <v>413</v>
      </c>
      <c r="F190" s="21" t="s">
        <v>412</v>
      </c>
      <c r="G190" s="10" t="s">
        <v>1191</v>
      </c>
      <c r="H190" s="22" t="s">
        <v>17</v>
      </c>
    </row>
    <row r="191" spans="2:8" ht="30" x14ac:dyDescent="0.3">
      <c r="B191" s="20" t="str">
        <f>IFERROR(_xlfn.XLOOKUP(D191,'Historias de Usuario'!C:C,'Historias de Usuario'!B:B, "Selecciona una historia"), "")</f>
        <v>Administración Central SIGVE</v>
      </c>
      <c r="C191" s="21" t="str">
        <f>IFERROR(_xlfn.XLOOKUP(D191,'Historias de Usuario'!C:C,'Historias de Usuario'!D:D, "Selecciona una historia"), "")</f>
        <v>Como Admin SIGVE quiero eliminar permanentemente un usuario para remover cuentas que ya no se necesitan</v>
      </c>
      <c r="D191" s="22" t="s">
        <v>415</v>
      </c>
      <c r="E191" s="21" t="s">
        <v>419</v>
      </c>
      <c r="F191" s="21" t="s">
        <v>416</v>
      </c>
      <c r="G191" s="10" t="s">
        <v>1191</v>
      </c>
      <c r="H191" s="22" t="s">
        <v>17</v>
      </c>
    </row>
    <row r="192" spans="2:8" ht="30" x14ac:dyDescent="0.3">
      <c r="B192" s="20" t="str">
        <f>IFERROR(_xlfn.XLOOKUP(D192,'Historias de Usuario'!C:C,'Historias de Usuario'!B:B, "Selecciona una historia"), "")</f>
        <v>Administración Central SIGVE</v>
      </c>
      <c r="C192" s="21" t="str">
        <f>IFERROR(_xlfn.XLOOKUP(D192,'Historias de Usuario'!C:C,'Historias de Usuario'!D:D, "Selecciona una historia"), "")</f>
        <v>Como Admin SIGVE quiero eliminar permanentemente un usuario para remover cuentas que ya no se necesitan</v>
      </c>
      <c r="D192" s="22" t="s">
        <v>415</v>
      </c>
      <c r="E192" s="21" t="s">
        <v>420</v>
      </c>
      <c r="F192" s="21" t="s">
        <v>180</v>
      </c>
      <c r="G192" s="10" t="s">
        <v>1191</v>
      </c>
      <c r="H192" s="22" t="s">
        <v>17</v>
      </c>
    </row>
    <row r="193" spans="2:8" ht="30" x14ac:dyDescent="0.3">
      <c r="B193" s="20" t="str">
        <f>IFERROR(_xlfn.XLOOKUP(D193,'Historias de Usuario'!C:C,'Historias de Usuario'!B:B, "Selecciona una historia"), "")</f>
        <v>Administración Central SIGVE</v>
      </c>
      <c r="C193" s="21" t="str">
        <f>IFERROR(_xlfn.XLOOKUP(D193,'Historias de Usuario'!C:C,'Historias de Usuario'!D:D, "Selecciona una historia"), "")</f>
        <v>Como Admin SIGVE quiero eliminar permanentemente un usuario para remover cuentas que ya no se necesitan</v>
      </c>
      <c r="D193" s="22" t="s">
        <v>415</v>
      </c>
      <c r="E193" s="21" t="s">
        <v>421</v>
      </c>
      <c r="F193" s="21" t="s">
        <v>417</v>
      </c>
      <c r="G193" s="10" t="s">
        <v>1191</v>
      </c>
      <c r="H193" s="22" t="s">
        <v>17</v>
      </c>
    </row>
    <row r="194" spans="2:8" ht="30" x14ac:dyDescent="0.3">
      <c r="B194" s="20" t="str">
        <f>IFERROR(_xlfn.XLOOKUP(D194,'Historias de Usuario'!C:C,'Historias de Usuario'!B:B, "Selecciona una historia"), "")</f>
        <v>Administración Central SIGVE</v>
      </c>
      <c r="C194" s="21" t="str">
        <f>IFERROR(_xlfn.XLOOKUP(D194,'Historias de Usuario'!C:C,'Historias de Usuario'!D:D, "Selecciona una historia"), "")</f>
        <v>Como Admin SIGVE quiero eliminar permanentemente un usuario para remover cuentas que ya no se necesitan</v>
      </c>
      <c r="D194" s="22" t="s">
        <v>415</v>
      </c>
      <c r="E194" s="21" t="s">
        <v>422</v>
      </c>
      <c r="F194" s="21" t="s">
        <v>266</v>
      </c>
      <c r="G194" s="10" t="s">
        <v>1191</v>
      </c>
      <c r="H194" s="22" t="s">
        <v>17</v>
      </c>
    </row>
    <row r="195" spans="2:8" ht="43.2" x14ac:dyDescent="0.3">
      <c r="B195" s="20" t="str">
        <f>IFERROR(_xlfn.XLOOKUP(D195,'Historias de Usuario'!C:C,'Historias de Usuario'!B:B, "Selecciona una historia"), "")</f>
        <v>Administración Central SIGVE</v>
      </c>
      <c r="C195" s="21" t="str">
        <f>IFERROR(_xlfn.XLOOKUP(D195,'Historias de Usuario'!C:C,'Historias de Usuario'!D:D, "Selecciona una historia"), "")</f>
        <v>Como Admin SIGVE quiero eliminar permanentemente un usuario para remover cuentas que ya no se necesitan</v>
      </c>
      <c r="D195" s="22" t="s">
        <v>415</v>
      </c>
      <c r="E195" s="21" t="s">
        <v>423</v>
      </c>
      <c r="F195" s="21" t="s">
        <v>418</v>
      </c>
      <c r="G195" s="10" t="s">
        <v>1191</v>
      </c>
      <c r="H195" s="22" t="s">
        <v>17</v>
      </c>
    </row>
    <row r="196" spans="2:8" ht="43.2" x14ac:dyDescent="0.3">
      <c r="B196" s="20" t="str">
        <f>IFERROR(_xlfn.XLOOKUP(D196,'Historias de Usuario'!C:C,'Historias de Usuario'!B:B, "Selecciona una historia"), "")</f>
        <v>Administración Central SIGVE</v>
      </c>
      <c r="C196" s="21" t="str">
        <f>IFERROR(_xlfn.XLOOKUP(D196,'Historias de Usuario'!C:C,'Historias de Usuario'!D:D, "Selecciona una historia"), "")</f>
        <v>Como Admin SIGVE quiero crear un tipo de solicitud con esquema de formulario dinámico para que los talleres puedan solicitar diferentes tipos de recursos</v>
      </c>
      <c r="D196" s="22" t="s">
        <v>425</v>
      </c>
      <c r="E196" s="21" t="s">
        <v>432</v>
      </c>
      <c r="F196" s="21" t="s">
        <v>426</v>
      </c>
      <c r="G196" s="10" t="s">
        <v>1191</v>
      </c>
      <c r="H196" s="22" t="s">
        <v>17</v>
      </c>
    </row>
    <row r="197" spans="2:8" ht="43.2" x14ac:dyDescent="0.3">
      <c r="B197" s="20" t="str">
        <f>IFERROR(_xlfn.XLOOKUP(D197,'Historias de Usuario'!C:C,'Historias de Usuario'!B:B, "Selecciona una historia"), "")</f>
        <v>Administración Central SIGVE</v>
      </c>
      <c r="C197" s="21" t="str">
        <f>IFERROR(_xlfn.XLOOKUP(D197,'Historias de Usuario'!C:C,'Historias de Usuario'!D:D, "Selecciona una historia"), "")</f>
        <v>Como Admin SIGVE quiero crear un tipo de solicitud con esquema de formulario dinámico para que los talleres puedan solicitar diferentes tipos de recursos</v>
      </c>
      <c r="D197" s="22" t="s">
        <v>425</v>
      </c>
      <c r="E197" s="21" t="s">
        <v>433</v>
      </c>
      <c r="F197" s="21" t="s">
        <v>427</v>
      </c>
      <c r="G197" s="10" t="s">
        <v>1191</v>
      </c>
      <c r="H197" s="22" t="s">
        <v>17</v>
      </c>
    </row>
    <row r="198" spans="2:8" ht="43.2" x14ac:dyDescent="0.3">
      <c r="B198" s="20" t="str">
        <f>IFERROR(_xlfn.XLOOKUP(D198,'Historias de Usuario'!C:C,'Historias de Usuario'!B:B, "Selecciona una historia"), "")</f>
        <v>Administración Central SIGVE</v>
      </c>
      <c r="C198" s="21" t="str">
        <f>IFERROR(_xlfn.XLOOKUP(D198,'Historias de Usuario'!C:C,'Historias de Usuario'!D:D, "Selecciona una historia"), "")</f>
        <v>Como Admin SIGVE quiero crear un tipo de solicitud con esquema de formulario dinámico para que los talleres puedan solicitar diferentes tipos de recursos</v>
      </c>
      <c r="D198" s="22" t="s">
        <v>425</v>
      </c>
      <c r="E198" s="21" t="s">
        <v>434</v>
      </c>
      <c r="F198" s="21" t="s">
        <v>324</v>
      </c>
      <c r="G198" s="10" t="s">
        <v>1191</v>
      </c>
      <c r="H198" s="22" t="s">
        <v>17</v>
      </c>
    </row>
    <row r="199" spans="2:8" ht="43.2" x14ac:dyDescent="0.3">
      <c r="B199" s="20" t="str">
        <f>IFERROR(_xlfn.XLOOKUP(D199,'Historias de Usuario'!C:C,'Historias de Usuario'!B:B, "Selecciona una historia"), "")</f>
        <v>Administración Central SIGVE</v>
      </c>
      <c r="C199" s="21" t="str">
        <f>IFERROR(_xlfn.XLOOKUP(D199,'Historias de Usuario'!C:C,'Historias de Usuario'!D:D, "Selecciona una historia"), "")</f>
        <v>Como Admin SIGVE quiero crear un tipo de solicitud con esquema de formulario dinámico para que los talleres puedan solicitar diferentes tipos de recursos</v>
      </c>
      <c r="D199" s="22" t="s">
        <v>425</v>
      </c>
      <c r="E199" s="21" t="s">
        <v>435</v>
      </c>
      <c r="F199" s="21" t="s">
        <v>428</v>
      </c>
      <c r="G199" s="10" t="s">
        <v>1191</v>
      </c>
      <c r="H199" s="22" t="s">
        <v>17</v>
      </c>
    </row>
    <row r="200" spans="2:8" ht="43.2" x14ac:dyDescent="0.3">
      <c r="B200" s="20" t="str">
        <f>IFERROR(_xlfn.XLOOKUP(D200,'Historias de Usuario'!C:C,'Historias de Usuario'!B:B, "Selecciona una historia"), "")</f>
        <v>Administración Central SIGVE</v>
      </c>
      <c r="C200" s="21" t="str">
        <f>IFERROR(_xlfn.XLOOKUP(D200,'Historias de Usuario'!C:C,'Historias de Usuario'!D:D, "Selecciona una historia"), "")</f>
        <v>Como Admin SIGVE quiero crear un tipo de solicitud con esquema de formulario dinámico para que los talleres puedan solicitar diferentes tipos de recursos</v>
      </c>
      <c r="D200" s="22" t="s">
        <v>425</v>
      </c>
      <c r="E200" s="21" t="s">
        <v>436</v>
      </c>
      <c r="F200" s="21" t="s">
        <v>429</v>
      </c>
      <c r="G200" s="10" t="s">
        <v>1191</v>
      </c>
      <c r="H200" s="22" t="s">
        <v>17</v>
      </c>
    </row>
    <row r="201" spans="2:8" ht="43.2" x14ac:dyDescent="0.3">
      <c r="B201" s="20" t="str">
        <f>IFERROR(_xlfn.XLOOKUP(D201,'Historias de Usuario'!C:C,'Historias de Usuario'!B:B, "Selecciona una historia"), "")</f>
        <v>Administración Central SIGVE</v>
      </c>
      <c r="C201" s="21" t="str">
        <f>IFERROR(_xlfn.XLOOKUP(D201,'Historias de Usuario'!C:C,'Historias de Usuario'!D:D, "Selecciona una historia"), "")</f>
        <v>Como Admin SIGVE quiero crear un tipo de solicitud con esquema de formulario dinámico para que los talleres puedan solicitar diferentes tipos de recursos</v>
      </c>
      <c r="D201" s="22" t="s">
        <v>425</v>
      </c>
      <c r="E201" s="21" t="s">
        <v>437</v>
      </c>
      <c r="F201" s="21" t="s">
        <v>430</v>
      </c>
      <c r="G201" s="10" t="s">
        <v>1191</v>
      </c>
      <c r="H201" s="22" t="s">
        <v>17</v>
      </c>
    </row>
    <row r="202" spans="2:8" ht="43.2" x14ac:dyDescent="0.3">
      <c r="B202" s="20" t="str">
        <f>IFERROR(_xlfn.XLOOKUP(D202,'Historias de Usuario'!C:C,'Historias de Usuario'!B:B, "Selecciona una historia"), "")</f>
        <v>Administración Central SIGVE</v>
      </c>
      <c r="C202" s="21" t="str">
        <f>IFERROR(_xlfn.XLOOKUP(D202,'Historias de Usuario'!C:C,'Historias de Usuario'!D:D, "Selecciona una historia"), "")</f>
        <v>Como Admin SIGVE quiero crear un tipo de solicitud con esquema de formulario dinámico para que los talleres puedan solicitar diferentes tipos de recursos</v>
      </c>
      <c r="D202" s="22" t="s">
        <v>425</v>
      </c>
      <c r="E202" s="21" t="s">
        <v>438</v>
      </c>
      <c r="F202" s="21" t="s">
        <v>431</v>
      </c>
      <c r="G202" s="10" t="s">
        <v>1191</v>
      </c>
      <c r="H202" s="22" t="s">
        <v>17</v>
      </c>
    </row>
    <row r="203" spans="2:8" ht="43.2" x14ac:dyDescent="0.3">
      <c r="B203" s="20" t="str">
        <f>IFERROR(_xlfn.XLOOKUP(D203,'Historias de Usuario'!C:C,'Historias de Usuario'!B:B, "Selecciona una historia"), "")</f>
        <v>Administración Central SIGVE</v>
      </c>
      <c r="C203" s="21" t="str">
        <f>IFERROR(_xlfn.XLOOKUP(D203,'Historias de Usuario'!C:C,'Historias de Usuario'!D:D, "Selecciona una historia"), "")</f>
        <v>Como Admin SIGVE quiero crear un tipo de solicitud con esquema de formulario dinámico para que los talleres puedan solicitar diferentes tipos de recursos</v>
      </c>
      <c r="D203" s="22" t="s">
        <v>425</v>
      </c>
      <c r="E203" s="21" t="s">
        <v>439</v>
      </c>
      <c r="F203" s="21" t="s">
        <v>154</v>
      </c>
      <c r="G203" s="10" t="s">
        <v>1191</v>
      </c>
      <c r="H203" s="22" t="s">
        <v>17</v>
      </c>
    </row>
    <row r="204" spans="2:8" ht="43.2" x14ac:dyDescent="0.3">
      <c r="B204" s="20" t="str">
        <f>IFERROR(_xlfn.XLOOKUP(D204,'Historias de Usuario'!C:C,'Historias de Usuario'!B:B, "Selecciona una historia"), "")</f>
        <v>Administración Central SIGVE</v>
      </c>
      <c r="C204" s="21" t="str">
        <f>IFERROR(_xlfn.XLOOKUP(D204,'Historias de Usuario'!C:C,'Historias de Usuario'!D:D, "Selecciona una historia"), "")</f>
        <v>Como Admin SIGVE quiero crear un tipo de solicitud con esquema de formulario dinámico para que los talleres puedan solicitar diferentes tipos de recursos</v>
      </c>
      <c r="D204" s="22" t="s">
        <v>425</v>
      </c>
      <c r="E204" s="21" t="s">
        <v>440</v>
      </c>
      <c r="F204" s="21" t="s">
        <v>192</v>
      </c>
      <c r="G204" s="10" t="s">
        <v>1191</v>
      </c>
      <c r="H204" s="22" t="s">
        <v>17</v>
      </c>
    </row>
    <row r="205" spans="2:8" ht="43.2" x14ac:dyDescent="0.3">
      <c r="B205" s="20" t="str">
        <f>IFERROR(_xlfn.XLOOKUP(D205,'Historias de Usuario'!C:C,'Historias de Usuario'!B:B, "Selecciona una historia"), "")</f>
        <v>Administración Central SIGVE</v>
      </c>
      <c r="C205" s="21" t="str">
        <f>IFERROR(_xlfn.XLOOKUP(D205,'Historias de Usuario'!C:C,'Historias de Usuario'!D:D, "Selecciona una historia"), "")</f>
        <v>Como Admin SIGVE quiero gestionar los tipos de solicitudes configurables para permitir que talleres soliciten diferentes tipos de datos</v>
      </c>
      <c r="D205" s="22" t="s">
        <v>441</v>
      </c>
      <c r="E205" s="21" t="s">
        <v>446</v>
      </c>
      <c r="F205" s="21" t="s">
        <v>442</v>
      </c>
      <c r="G205" s="10" t="s">
        <v>1191</v>
      </c>
      <c r="H205" s="22" t="s">
        <v>17</v>
      </c>
    </row>
    <row r="206" spans="2:8" ht="43.2" x14ac:dyDescent="0.3">
      <c r="B206" s="20" t="str">
        <f>IFERROR(_xlfn.XLOOKUP(D206,'Historias de Usuario'!C:C,'Historias de Usuario'!B:B, "Selecciona una historia"), "")</f>
        <v>Administración Central SIGVE</v>
      </c>
      <c r="C206" s="21" t="str">
        <f>IFERROR(_xlfn.XLOOKUP(D206,'Historias de Usuario'!C:C,'Historias de Usuario'!D:D, "Selecciona una historia"), "")</f>
        <v>Como Admin SIGVE quiero gestionar los tipos de solicitudes configurables para permitir que talleres soliciten diferentes tipos de datos</v>
      </c>
      <c r="D206" s="22" t="s">
        <v>441</v>
      </c>
      <c r="E206" s="21" t="s">
        <v>447</v>
      </c>
      <c r="F206" s="21" t="s">
        <v>443</v>
      </c>
      <c r="G206" s="10" t="s">
        <v>1191</v>
      </c>
      <c r="H206" s="22" t="s">
        <v>17</v>
      </c>
    </row>
    <row r="207" spans="2:8" ht="43.2" x14ac:dyDescent="0.3">
      <c r="B207" s="20" t="str">
        <f>IFERROR(_xlfn.XLOOKUP(D207,'Historias de Usuario'!C:C,'Historias de Usuario'!B:B, "Selecciona una historia"), "")</f>
        <v>Administración Central SIGVE</v>
      </c>
      <c r="C207" s="21" t="str">
        <f>IFERROR(_xlfn.XLOOKUP(D207,'Historias de Usuario'!C:C,'Historias de Usuario'!D:D, "Selecciona una historia"), "")</f>
        <v>Como Admin SIGVE quiero gestionar los tipos de solicitudes configurables para permitir que talleres soliciten diferentes tipos de datos</v>
      </c>
      <c r="D207" s="22" t="s">
        <v>441</v>
      </c>
      <c r="E207" s="21" t="s">
        <v>448</v>
      </c>
      <c r="F207" s="21" t="s">
        <v>230</v>
      </c>
      <c r="G207" s="10" t="s">
        <v>1191</v>
      </c>
      <c r="H207" s="22" t="s">
        <v>17</v>
      </c>
    </row>
    <row r="208" spans="2:8" ht="43.2" x14ac:dyDescent="0.3">
      <c r="B208" s="20" t="str">
        <f>IFERROR(_xlfn.XLOOKUP(D208,'Historias de Usuario'!C:C,'Historias de Usuario'!B:B, "Selecciona una historia"), "")</f>
        <v>Administración Central SIGVE</v>
      </c>
      <c r="C208" s="21" t="str">
        <f>IFERROR(_xlfn.XLOOKUP(D208,'Historias de Usuario'!C:C,'Historias de Usuario'!D:D, "Selecciona una historia"), "")</f>
        <v>Como Admin SIGVE quiero gestionar los tipos de solicitudes configurables para permitir que talleres soliciten diferentes tipos de datos</v>
      </c>
      <c r="D208" s="22" t="s">
        <v>441</v>
      </c>
      <c r="E208" s="21" t="s">
        <v>449</v>
      </c>
      <c r="F208" s="21" t="s">
        <v>136</v>
      </c>
      <c r="G208" s="10" t="s">
        <v>1191</v>
      </c>
      <c r="H208" s="22" t="s">
        <v>17</v>
      </c>
    </row>
    <row r="209" spans="2:8" ht="30" x14ac:dyDescent="0.3">
      <c r="B209" s="20" t="str">
        <f>IFERROR(_xlfn.XLOOKUP(D209,'Historias de Usuario'!C:C,'Historias de Usuario'!B:B, "Selecciona una historia"), "")</f>
        <v>Administración Central SIGVE</v>
      </c>
      <c r="C209" s="21" t="str">
        <f>IFERROR(_xlfn.XLOOKUP(D209,'Historias de Usuario'!C:C,'Historias de Usuario'!D:D, "Selecciona una historia"), "")</f>
        <v>Como Admin SIGVE quiero editar un tipo de solicitud para actualizar su configuración</v>
      </c>
      <c r="D209" s="22" t="s">
        <v>445</v>
      </c>
      <c r="E209" s="21" t="s">
        <v>452</v>
      </c>
      <c r="F209" s="21" t="s">
        <v>450</v>
      </c>
      <c r="G209" s="10" t="s">
        <v>1191</v>
      </c>
      <c r="H209" s="22" t="s">
        <v>17</v>
      </c>
    </row>
    <row r="210" spans="2:8" ht="30" x14ac:dyDescent="0.3">
      <c r="B210" s="20" t="str">
        <f>IFERROR(_xlfn.XLOOKUP(D210,'Historias de Usuario'!C:C,'Historias de Usuario'!B:B, "Selecciona una historia"), "")</f>
        <v>Administración Central SIGVE</v>
      </c>
      <c r="C210" s="21" t="str">
        <f>IFERROR(_xlfn.XLOOKUP(D210,'Historias de Usuario'!C:C,'Historias de Usuario'!D:D, "Selecciona una historia"), "")</f>
        <v>Como Admin SIGVE quiero editar un tipo de solicitud para actualizar su configuración</v>
      </c>
      <c r="D210" s="22" t="s">
        <v>445</v>
      </c>
      <c r="E210" s="21" t="s">
        <v>453</v>
      </c>
      <c r="F210" s="21" t="s">
        <v>168</v>
      </c>
      <c r="G210" s="10" t="s">
        <v>1191</v>
      </c>
      <c r="H210" s="22" t="s">
        <v>17</v>
      </c>
    </row>
    <row r="211" spans="2:8" ht="30" x14ac:dyDescent="0.3">
      <c r="B211" s="20" t="str">
        <f>IFERROR(_xlfn.XLOOKUP(D211,'Historias de Usuario'!C:C,'Historias de Usuario'!B:B, "Selecciona una historia"), "")</f>
        <v>Administración Central SIGVE</v>
      </c>
      <c r="C211" s="21" t="str">
        <f>IFERROR(_xlfn.XLOOKUP(D211,'Historias de Usuario'!C:C,'Historias de Usuario'!D:D, "Selecciona una historia"), "")</f>
        <v>Como Admin SIGVE quiero editar un tipo de solicitud para actualizar su configuración</v>
      </c>
      <c r="D211" s="22" t="s">
        <v>445</v>
      </c>
      <c r="E211" s="21" t="s">
        <v>454</v>
      </c>
      <c r="F211" s="21" t="s">
        <v>451</v>
      </c>
      <c r="G211" s="10" t="s">
        <v>1191</v>
      </c>
      <c r="H211" s="22" t="s">
        <v>17</v>
      </c>
    </row>
    <row r="212" spans="2:8" ht="30" x14ac:dyDescent="0.3">
      <c r="B212" s="20" t="str">
        <f>IFERROR(_xlfn.XLOOKUP(D212,'Historias de Usuario'!C:C,'Historias de Usuario'!B:B, "Selecciona una historia"), "")</f>
        <v>Administración Central SIGVE</v>
      </c>
      <c r="C212" s="21" t="str">
        <f>IFERROR(_xlfn.XLOOKUP(D212,'Historias de Usuario'!C:C,'Historias de Usuario'!D:D, "Selecciona una historia"), "")</f>
        <v>Como Admin SIGVE quiero editar un tipo de solicitud para actualizar su configuración</v>
      </c>
      <c r="D212" s="22" t="s">
        <v>445</v>
      </c>
      <c r="E212" s="21" t="s">
        <v>455</v>
      </c>
      <c r="F212" s="21" t="s">
        <v>259</v>
      </c>
      <c r="G212" s="10" t="s">
        <v>1191</v>
      </c>
      <c r="H212" s="22" t="s">
        <v>17</v>
      </c>
    </row>
    <row r="213" spans="2:8" ht="30" x14ac:dyDescent="0.3">
      <c r="B213" s="20" t="str">
        <f>IFERROR(_xlfn.XLOOKUP(D213,'Historias de Usuario'!C:C,'Historias de Usuario'!B:B, "Selecciona una historia"), "")</f>
        <v>Administración Central SIGVE</v>
      </c>
      <c r="C213" s="21" t="str">
        <f>IFERROR(_xlfn.XLOOKUP(D213,'Historias de Usuario'!C:C,'Historias de Usuario'!D:D, "Selecciona una historia"), "")</f>
        <v>Como Admin SIGVE quiero editar un tipo de solicitud para actualizar su configuración</v>
      </c>
      <c r="D213" s="22" t="s">
        <v>445</v>
      </c>
      <c r="E213" s="21" t="s">
        <v>456</v>
      </c>
      <c r="F213" s="21" t="s">
        <v>171</v>
      </c>
      <c r="G213" s="10" t="s">
        <v>1191</v>
      </c>
      <c r="H213" s="22" t="s">
        <v>17</v>
      </c>
    </row>
    <row r="214" spans="2:8" ht="30" x14ac:dyDescent="0.3">
      <c r="B214" s="20" t="str">
        <f>IFERROR(_xlfn.XLOOKUP(D214,'Historias de Usuario'!C:C,'Historias de Usuario'!B:B, "Selecciona una historia"), "")</f>
        <v>Administración Central SIGVE</v>
      </c>
      <c r="C214" s="21" t="str">
        <f>IFERROR(_xlfn.XLOOKUP(D214,'Historias de Usuario'!C:C,'Historias de Usuario'!D:D, "Selecciona una historia"), "")</f>
        <v>Como Admin SIGVE quiero eliminar un tipo de solicitud para mantener solo tipos vigentes</v>
      </c>
      <c r="D214" s="22" t="s">
        <v>458</v>
      </c>
      <c r="E214" s="21" t="s">
        <v>460</v>
      </c>
      <c r="F214" s="21" t="s">
        <v>180</v>
      </c>
      <c r="G214" s="10" t="s">
        <v>1191</v>
      </c>
      <c r="H214" s="22" t="s">
        <v>17</v>
      </c>
    </row>
    <row r="215" spans="2:8" ht="30" x14ac:dyDescent="0.3">
      <c r="B215" s="20" t="str">
        <f>IFERROR(_xlfn.XLOOKUP(D215,'Historias de Usuario'!C:C,'Historias de Usuario'!B:B, "Selecciona una historia"), "")</f>
        <v>Administración Central SIGVE</v>
      </c>
      <c r="C215" s="21" t="str">
        <f>IFERROR(_xlfn.XLOOKUP(D215,'Historias de Usuario'!C:C,'Historias de Usuario'!D:D, "Selecciona una historia"), "")</f>
        <v>Como Admin SIGVE quiero eliminar un tipo de solicitud para mantener solo tipos vigentes</v>
      </c>
      <c r="D215" s="22" t="s">
        <v>458</v>
      </c>
      <c r="E215" s="21" t="s">
        <v>461</v>
      </c>
      <c r="F215" s="21" t="s">
        <v>459</v>
      </c>
      <c r="G215" s="10" t="s">
        <v>1191</v>
      </c>
      <c r="H215" s="22" t="s">
        <v>17</v>
      </c>
    </row>
    <row r="216" spans="2:8" ht="30" x14ac:dyDescent="0.3">
      <c r="B216" s="20" t="str">
        <f>IFERROR(_xlfn.XLOOKUP(D216,'Historias de Usuario'!C:C,'Historias de Usuario'!B:B, "Selecciona una historia"), "")</f>
        <v>Administración Central SIGVE</v>
      </c>
      <c r="C216" s="21" t="str">
        <f>IFERROR(_xlfn.XLOOKUP(D216,'Historias de Usuario'!C:C,'Historias de Usuario'!D:D, "Selecciona una historia"), "")</f>
        <v>Como Admin SIGVE quiero eliminar un tipo de solicitud para mantener solo tipos vigentes</v>
      </c>
      <c r="D216" s="22" t="s">
        <v>458</v>
      </c>
      <c r="E216" s="21" t="s">
        <v>462</v>
      </c>
      <c r="F216" s="21" t="s">
        <v>266</v>
      </c>
      <c r="G216" s="10" t="s">
        <v>1191</v>
      </c>
      <c r="H216" s="22" t="s">
        <v>17</v>
      </c>
    </row>
    <row r="217" spans="2:8" ht="43.2" x14ac:dyDescent="0.3">
      <c r="B217" s="20" t="str">
        <f>IFERROR(_xlfn.XLOOKUP(D217,'Historias de Usuario'!C:C,'Historias de Usuario'!B:B, "Selecciona una historia"), "")</f>
        <v>Administración Central SIGVE</v>
      </c>
      <c r="C217" s="21" t="str">
        <f>IFERROR(_xlfn.XLOOKUP(D217,'Historias de Usuario'!C:C,'Historias de Usuario'!D:D, "Selecciona una historia"), "")</f>
        <v>Como Admin SIGVE quiero ver un centro de solicitudes con pestañas por estado para gestionar solicitudes de talleres de forma organizada</v>
      </c>
      <c r="D217" s="22" t="s">
        <v>464</v>
      </c>
      <c r="E217" s="21" t="s">
        <v>474</v>
      </c>
      <c r="F217" s="21" t="s">
        <v>466</v>
      </c>
      <c r="G217" s="10" t="s">
        <v>1191</v>
      </c>
      <c r="H217" s="22" t="s">
        <v>17</v>
      </c>
    </row>
    <row r="218" spans="2:8" ht="43.2" x14ac:dyDescent="0.3">
      <c r="B218" s="20" t="str">
        <f>IFERROR(_xlfn.XLOOKUP(D218,'Historias de Usuario'!C:C,'Historias de Usuario'!B:B, "Selecciona una historia"), "")</f>
        <v>Administración Central SIGVE</v>
      </c>
      <c r="C218" s="21" t="str">
        <f>IFERROR(_xlfn.XLOOKUP(D218,'Historias de Usuario'!C:C,'Historias de Usuario'!D:D, "Selecciona una historia"), "")</f>
        <v>Como Admin SIGVE quiero ver un centro de solicitudes con pestañas por estado para gestionar solicitudes de talleres de forma organizada</v>
      </c>
      <c r="D218" s="22" t="s">
        <v>464</v>
      </c>
      <c r="E218" s="21" t="s">
        <v>475</v>
      </c>
      <c r="F218" s="21" t="s">
        <v>467</v>
      </c>
      <c r="G218" s="10" t="s">
        <v>1191</v>
      </c>
      <c r="H218" s="22" t="s">
        <v>17</v>
      </c>
    </row>
    <row r="219" spans="2:8" ht="43.2" x14ac:dyDescent="0.3">
      <c r="B219" s="20" t="str">
        <f>IFERROR(_xlfn.XLOOKUP(D219,'Historias de Usuario'!C:C,'Historias de Usuario'!B:B, "Selecciona una historia"), "")</f>
        <v>Administración Central SIGVE</v>
      </c>
      <c r="C219" s="21" t="str">
        <f>IFERROR(_xlfn.XLOOKUP(D219,'Historias de Usuario'!C:C,'Historias de Usuario'!D:D, "Selecciona una historia"), "")</f>
        <v>Como Admin SIGVE quiero ver un centro de solicitudes con pestañas por estado para gestionar solicitudes de talleres de forma organizada</v>
      </c>
      <c r="D219" s="22" t="s">
        <v>464</v>
      </c>
      <c r="E219" s="21" t="s">
        <v>476</v>
      </c>
      <c r="F219" s="21" t="s">
        <v>468</v>
      </c>
      <c r="G219" s="10" t="s">
        <v>1191</v>
      </c>
      <c r="H219" s="22" t="s">
        <v>17</v>
      </c>
    </row>
    <row r="220" spans="2:8" ht="43.2" x14ac:dyDescent="0.3">
      <c r="B220" s="20" t="str">
        <f>IFERROR(_xlfn.XLOOKUP(D220,'Historias de Usuario'!C:C,'Historias de Usuario'!B:B, "Selecciona una historia"), "")</f>
        <v>Administración Central SIGVE</v>
      </c>
      <c r="C220" s="21" t="str">
        <f>IFERROR(_xlfn.XLOOKUP(D220,'Historias de Usuario'!C:C,'Historias de Usuario'!D:D, "Selecciona una historia"), "")</f>
        <v>Como Admin SIGVE quiero ver un centro de solicitudes con pestañas por estado para gestionar solicitudes de talleres de forma organizada</v>
      </c>
      <c r="D220" s="22" t="s">
        <v>464</v>
      </c>
      <c r="E220" s="21" t="s">
        <v>477</v>
      </c>
      <c r="F220" s="10" t="s">
        <v>469</v>
      </c>
      <c r="G220" s="10" t="s">
        <v>1191</v>
      </c>
      <c r="H220" s="22" t="s">
        <v>17</v>
      </c>
    </row>
    <row r="221" spans="2:8" ht="43.2" x14ac:dyDescent="0.3">
      <c r="B221" s="20" t="str">
        <f>IFERROR(_xlfn.XLOOKUP(D221,'Historias de Usuario'!C:C,'Historias de Usuario'!B:B, "Selecciona una historia"), "")</f>
        <v>Administración Central SIGVE</v>
      </c>
      <c r="C221" s="21" t="str">
        <f>IFERROR(_xlfn.XLOOKUP(D221,'Historias de Usuario'!C:C,'Historias de Usuario'!D:D, "Selecciona una historia"), "")</f>
        <v>Como Admin SIGVE quiero ver un centro de solicitudes con pestañas por estado para gestionar solicitudes de talleres de forma organizada</v>
      </c>
      <c r="D221" s="22" t="s">
        <v>464</v>
      </c>
      <c r="E221" s="21" t="s">
        <v>478</v>
      </c>
      <c r="F221" s="6" t="s">
        <v>470</v>
      </c>
      <c r="G221" s="10" t="s">
        <v>1191</v>
      </c>
      <c r="H221" s="22" t="s">
        <v>17</v>
      </c>
    </row>
    <row r="222" spans="2:8" ht="43.2" x14ac:dyDescent="0.3">
      <c r="B222" s="20" t="str">
        <f>IFERROR(_xlfn.XLOOKUP(D222,'Historias de Usuario'!C:C,'Historias de Usuario'!B:B, "Selecciona una historia"), "")</f>
        <v>Administración Central SIGVE</v>
      </c>
      <c r="C222" s="21" t="str">
        <f>IFERROR(_xlfn.XLOOKUP(D222,'Historias de Usuario'!C:C,'Historias de Usuario'!D:D, "Selecciona una historia"), "")</f>
        <v>Como Admin SIGVE quiero ver un centro de solicitudes con pestañas por estado para gestionar solicitudes de talleres de forma organizada</v>
      </c>
      <c r="D222" s="22" t="s">
        <v>464</v>
      </c>
      <c r="E222" s="21" t="s">
        <v>479</v>
      </c>
      <c r="F222" s="6" t="s">
        <v>471</v>
      </c>
      <c r="G222" s="10" t="s">
        <v>1191</v>
      </c>
      <c r="H222" s="22" t="s">
        <v>17</v>
      </c>
    </row>
    <row r="223" spans="2:8" ht="43.2" x14ac:dyDescent="0.3">
      <c r="B223" s="20" t="str">
        <f>IFERROR(_xlfn.XLOOKUP(D223,'Historias de Usuario'!C:C,'Historias de Usuario'!B:B, "Selecciona una historia"), "")</f>
        <v>Administración Central SIGVE</v>
      </c>
      <c r="C223" s="21" t="str">
        <f>IFERROR(_xlfn.XLOOKUP(D223,'Historias de Usuario'!C:C,'Historias de Usuario'!D:D, "Selecciona una historia"), "")</f>
        <v>Como Admin SIGVE quiero ver un centro de solicitudes con pestañas por estado para gestionar solicitudes de talleres de forma organizada</v>
      </c>
      <c r="D223" s="22" t="s">
        <v>464</v>
      </c>
      <c r="E223" s="21" t="s">
        <v>480</v>
      </c>
      <c r="F223" s="6" t="s">
        <v>472</v>
      </c>
      <c r="G223" s="10" t="s">
        <v>1191</v>
      </c>
      <c r="H223" s="22" t="s">
        <v>17</v>
      </c>
    </row>
    <row r="224" spans="2:8" ht="43.2" x14ac:dyDescent="0.3">
      <c r="B224" s="20" t="str">
        <f>IFERROR(_xlfn.XLOOKUP(D224,'Historias de Usuario'!C:C,'Historias de Usuario'!B:B, "Selecciona una historia"), "")</f>
        <v>Administración Central SIGVE</v>
      </c>
      <c r="C224" s="21" t="str">
        <f>IFERROR(_xlfn.XLOOKUP(D224,'Historias de Usuario'!C:C,'Historias de Usuario'!D:D, "Selecciona una historia"), "")</f>
        <v>Como Admin SIGVE quiero ver un centro de solicitudes con pestañas por estado para gestionar solicitudes de talleres de forma organizada</v>
      </c>
      <c r="D224" s="22" t="s">
        <v>464</v>
      </c>
      <c r="E224" s="21" t="s">
        <v>481</v>
      </c>
      <c r="F224" s="6" t="s">
        <v>473</v>
      </c>
      <c r="G224" s="10" t="s">
        <v>1191</v>
      </c>
      <c r="H224" s="22" t="s">
        <v>17</v>
      </c>
    </row>
    <row r="225" spans="2:8" ht="43.2" x14ac:dyDescent="0.3">
      <c r="B225" s="20" t="str">
        <f>IFERROR(_xlfn.XLOOKUP(D225,'Historias de Usuario'!C:C,'Historias de Usuario'!B:B, "Selecciona una historia"), "")</f>
        <v>Administración Central SIGVE</v>
      </c>
      <c r="C225" s="21" t="str">
        <f>IFERROR(_xlfn.XLOOKUP(D225,'Historias de Usuario'!C:C,'Historias de Usuario'!D:D, "Selecciona una historia"), "")</f>
        <v>Como Admin SIGVE quiero aprobar una solicitud de taller para informar la creación del recurso solicitado en el sistema</v>
      </c>
      <c r="D225" s="22" t="s">
        <v>483</v>
      </c>
      <c r="E225" s="21" t="s">
        <v>489</v>
      </c>
      <c r="F225" s="21" t="s">
        <v>484</v>
      </c>
      <c r="G225" s="10" t="s">
        <v>1191</v>
      </c>
      <c r="H225" s="22" t="s">
        <v>17</v>
      </c>
    </row>
    <row r="226" spans="2:8" ht="43.2" x14ac:dyDescent="0.3">
      <c r="B226" s="20" t="str">
        <f>IFERROR(_xlfn.XLOOKUP(D226,'Historias de Usuario'!C:C,'Historias de Usuario'!B:B, "Selecciona una historia"), "")</f>
        <v>Administración Central SIGVE</v>
      </c>
      <c r="C226" s="21" t="str">
        <f>IFERROR(_xlfn.XLOOKUP(D226,'Historias de Usuario'!C:C,'Historias de Usuario'!D:D, "Selecciona una historia"), "")</f>
        <v>Como Admin SIGVE quiero aprobar una solicitud de taller para informar la creación del recurso solicitado en el sistema</v>
      </c>
      <c r="D226" s="22" t="s">
        <v>483</v>
      </c>
      <c r="E226" s="21" t="s">
        <v>490</v>
      </c>
      <c r="F226" s="21" t="s">
        <v>485</v>
      </c>
      <c r="G226" s="10" t="s">
        <v>1191</v>
      </c>
      <c r="H226" s="22" t="s">
        <v>17</v>
      </c>
    </row>
    <row r="227" spans="2:8" ht="43.2" x14ac:dyDescent="0.3">
      <c r="B227" s="20" t="str">
        <f>IFERROR(_xlfn.XLOOKUP(D227,'Historias de Usuario'!C:C,'Historias de Usuario'!B:B, "Selecciona una historia"), "")</f>
        <v>Administración Central SIGVE</v>
      </c>
      <c r="C227" s="21" t="str">
        <f>IFERROR(_xlfn.XLOOKUP(D227,'Historias de Usuario'!C:C,'Historias de Usuario'!D:D, "Selecciona una historia"), "")</f>
        <v>Como Admin SIGVE quiero aprobar una solicitud de taller para informar la creación del recurso solicitado en el sistema</v>
      </c>
      <c r="D227" s="22" t="s">
        <v>483</v>
      </c>
      <c r="E227" s="21" t="s">
        <v>491</v>
      </c>
      <c r="F227" s="21" t="s">
        <v>486</v>
      </c>
      <c r="G227" s="10" t="s">
        <v>1191</v>
      </c>
      <c r="H227" s="22" t="s">
        <v>17</v>
      </c>
    </row>
    <row r="228" spans="2:8" ht="43.2" x14ac:dyDescent="0.3">
      <c r="B228" s="20" t="str">
        <f>IFERROR(_xlfn.XLOOKUP(D228,'Historias de Usuario'!C:C,'Historias de Usuario'!B:B, "Selecciona una historia"), "")</f>
        <v>Administración Central SIGVE</v>
      </c>
      <c r="C228" s="21" t="str">
        <f>IFERROR(_xlfn.XLOOKUP(D228,'Historias de Usuario'!C:C,'Historias de Usuario'!D:D, "Selecciona una historia"), "")</f>
        <v>Como Admin SIGVE quiero aprobar una solicitud de taller para informar la creación del recurso solicitado en el sistema</v>
      </c>
      <c r="D228" s="22" t="s">
        <v>483</v>
      </c>
      <c r="E228" s="21" t="s">
        <v>492</v>
      </c>
      <c r="F228" s="21" t="s">
        <v>487</v>
      </c>
      <c r="G228" s="10" t="s">
        <v>1191</v>
      </c>
      <c r="H228" s="22" t="s">
        <v>17</v>
      </c>
    </row>
    <row r="229" spans="2:8" ht="43.2" x14ac:dyDescent="0.3">
      <c r="B229" s="20" t="str">
        <f>IFERROR(_xlfn.XLOOKUP(D229,'Historias de Usuario'!C:C,'Historias de Usuario'!B:B, "Selecciona una historia"), "")</f>
        <v>Administración Central SIGVE</v>
      </c>
      <c r="C229" s="21" t="str">
        <f>IFERROR(_xlfn.XLOOKUP(D229,'Historias de Usuario'!C:C,'Historias de Usuario'!D:D, "Selecciona una historia"), "")</f>
        <v>Como Admin SIGVE quiero aprobar una solicitud de taller para informar la creación del recurso solicitado en el sistema</v>
      </c>
      <c r="D229" s="22" t="s">
        <v>483</v>
      </c>
      <c r="E229" s="21" t="s">
        <v>493</v>
      </c>
      <c r="F229" s="21" t="s">
        <v>488</v>
      </c>
      <c r="G229" s="10" t="s">
        <v>1191</v>
      </c>
      <c r="H229" s="22" t="s">
        <v>17</v>
      </c>
    </row>
    <row r="230" spans="2:8" ht="30" x14ac:dyDescent="0.3">
      <c r="B230" s="20" t="str">
        <f>IFERROR(_xlfn.XLOOKUP(D230,'Historias de Usuario'!C:C,'Historias de Usuario'!B:B, "Selecciona una historia"), "")</f>
        <v>Administración Central SIGVE</v>
      </c>
      <c r="C230" s="21" t="str">
        <f>IFERROR(_xlfn.XLOOKUP(D230,'Historias de Usuario'!C:C,'Historias de Usuario'!D:D, "Selecciona una historia"), "")</f>
        <v>Como Admin SIGVE quiero rechazar una solicitud enviando un motivo para denegar solicitudes que no proceden</v>
      </c>
      <c r="D230" s="22" t="s">
        <v>495</v>
      </c>
      <c r="E230" s="21" t="s">
        <v>503</v>
      </c>
      <c r="F230" s="21" t="s">
        <v>496</v>
      </c>
      <c r="G230" s="10" t="s">
        <v>1191</v>
      </c>
      <c r="H230" s="22" t="s">
        <v>17</v>
      </c>
    </row>
    <row r="231" spans="2:8" ht="30" x14ac:dyDescent="0.3">
      <c r="B231" s="20" t="str">
        <f>IFERROR(_xlfn.XLOOKUP(D231,'Historias de Usuario'!C:C,'Historias de Usuario'!B:B, "Selecciona una historia"), "")</f>
        <v>Administración Central SIGVE</v>
      </c>
      <c r="C231" s="21" t="str">
        <f>IFERROR(_xlfn.XLOOKUP(D231,'Historias de Usuario'!C:C,'Historias de Usuario'!D:D, "Selecciona una historia"), "")</f>
        <v>Como Admin SIGVE quiero rechazar una solicitud enviando un motivo para denegar solicitudes que no proceden</v>
      </c>
      <c r="D231" s="22" t="s">
        <v>495</v>
      </c>
      <c r="E231" s="21" t="s">
        <v>504</v>
      </c>
      <c r="F231" s="21" t="s">
        <v>497</v>
      </c>
      <c r="G231" s="10" t="s">
        <v>1191</v>
      </c>
      <c r="H231" s="22" t="s">
        <v>17</v>
      </c>
    </row>
    <row r="232" spans="2:8" ht="30" x14ac:dyDescent="0.3">
      <c r="B232" s="20" t="str">
        <f>IFERROR(_xlfn.XLOOKUP(D232,'Historias de Usuario'!C:C,'Historias de Usuario'!B:B, "Selecciona una historia"), "")</f>
        <v>Administración Central SIGVE</v>
      </c>
      <c r="C232" s="21" t="str">
        <f>IFERROR(_xlfn.XLOOKUP(D232,'Historias de Usuario'!C:C,'Historias de Usuario'!D:D, "Selecciona una historia"), "")</f>
        <v>Como Admin SIGVE quiero rechazar una solicitud enviando un motivo para denegar solicitudes que no proceden</v>
      </c>
      <c r="D232" s="22" t="s">
        <v>495</v>
      </c>
      <c r="E232" s="21" t="s">
        <v>505</v>
      </c>
      <c r="F232" s="21" t="s">
        <v>498</v>
      </c>
      <c r="G232" s="10" t="s">
        <v>1191</v>
      </c>
      <c r="H232" s="22" t="s">
        <v>17</v>
      </c>
    </row>
    <row r="233" spans="2:8" ht="30" x14ac:dyDescent="0.3">
      <c r="B233" s="20" t="str">
        <f>IFERROR(_xlfn.XLOOKUP(D233,'Historias de Usuario'!C:C,'Historias de Usuario'!B:B, "Selecciona una historia"), "")</f>
        <v>Administración Central SIGVE</v>
      </c>
      <c r="C233" s="21" t="str">
        <f>IFERROR(_xlfn.XLOOKUP(D233,'Historias de Usuario'!C:C,'Historias de Usuario'!D:D, "Selecciona una historia"), "")</f>
        <v>Como Admin SIGVE quiero rechazar una solicitud enviando un motivo para denegar solicitudes que no proceden</v>
      </c>
      <c r="D233" s="22" t="s">
        <v>495</v>
      </c>
      <c r="E233" s="21" t="s">
        <v>506</v>
      </c>
      <c r="F233" s="21" t="s">
        <v>499</v>
      </c>
      <c r="G233" s="10" t="s">
        <v>1191</v>
      </c>
      <c r="H233" s="22" t="s">
        <v>17</v>
      </c>
    </row>
    <row r="234" spans="2:8" ht="30" x14ac:dyDescent="0.3">
      <c r="B234" s="20" t="str">
        <f>IFERROR(_xlfn.XLOOKUP(D234,'Historias de Usuario'!C:C,'Historias de Usuario'!B:B, "Selecciona una historia"), "")</f>
        <v>Administración Central SIGVE</v>
      </c>
      <c r="C234" s="21" t="str">
        <f>IFERROR(_xlfn.XLOOKUP(D234,'Historias de Usuario'!C:C,'Historias de Usuario'!D:D, "Selecciona una historia"), "")</f>
        <v>Como Admin SIGVE quiero rechazar una solicitud enviando un motivo para denegar solicitudes que no proceden</v>
      </c>
      <c r="D234" s="22" t="s">
        <v>495</v>
      </c>
      <c r="E234" s="21" t="s">
        <v>507</v>
      </c>
      <c r="F234" s="21" t="s">
        <v>374</v>
      </c>
      <c r="G234" s="10" t="s">
        <v>1191</v>
      </c>
      <c r="H234" s="22" t="s">
        <v>17</v>
      </c>
    </row>
    <row r="235" spans="2:8" ht="30" x14ac:dyDescent="0.3">
      <c r="B235" s="20" t="str">
        <f>IFERROR(_xlfn.XLOOKUP(D235,'Historias de Usuario'!C:C,'Historias de Usuario'!B:B, "Selecciona una historia"), "")</f>
        <v>Administración Central SIGVE</v>
      </c>
      <c r="C235" s="21" t="str">
        <f>IFERROR(_xlfn.XLOOKUP(D235,'Historias de Usuario'!C:C,'Historias de Usuario'!D:D, "Selecciona una historia"), "")</f>
        <v>Como Admin SIGVE quiero rechazar una solicitud enviando un motivo para denegar solicitudes que no proceden</v>
      </c>
      <c r="D235" s="22" t="s">
        <v>495</v>
      </c>
      <c r="E235" s="21" t="s">
        <v>508</v>
      </c>
      <c r="F235" s="21" t="s">
        <v>500</v>
      </c>
      <c r="G235" s="10" t="s">
        <v>1191</v>
      </c>
      <c r="H235" s="22" t="s">
        <v>17</v>
      </c>
    </row>
    <row r="236" spans="2:8" ht="30" x14ac:dyDescent="0.3">
      <c r="B236" s="20" t="str">
        <f>IFERROR(_xlfn.XLOOKUP(D236,'Historias de Usuario'!C:C,'Historias de Usuario'!B:B, "Selecciona una historia"), "")</f>
        <v>Administración Central SIGVE</v>
      </c>
      <c r="C236" s="21" t="str">
        <f>IFERROR(_xlfn.XLOOKUP(D236,'Historias de Usuario'!C:C,'Historias de Usuario'!D:D, "Selecciona una historia"), "")</f>
        <v>Como Admin SIGVE quiero rechazar una solicitud enviando un motivo para denegar solicitudes que no proceden</v>
      </c>
      <c r="D236" s="22" t="s">
        <v>495</v>
      </c>
      <c r="E236" s="21" t="s">
        <v>509</v>
      </c>
      <c r="F236" s="21" t="s">
        <v>501</v>
      </c>
      <c r="G236" s="10" t="s">
        <v>1191</v>
      </c>
      <c r="H236" s="22" t="s">
        <v>17</v>
      </c>
    </row>
    <row r="237" spans="2:8" ht="30" x14ac:dyDescent="0.3">
      <c r="B237" s="20" t="str">
        <f>IFERROR(_xlfn.XLOOKUP(D237,'Historias de Usuario'!C:C,'Historias de Usuario'!B:B, "Selecciona una historia"), "")</f>
        <v>Administración Central SIGVE</v>
      </c>
      <c r="C237" s="21" t="str">
        <f>IFERROR(_xlfn.XLOOKUP(D237,'Historias de Usuario'!C:C,'Historias de Usuario'!D:D, "Selecciona una historia"), "")</f>
        <v>Como Admin SIGVE quiero rechazar una solicitud enviando un motivo para denegar solicitudes que no proceden</v>
      </c>
      <c r="D237" s="22" t="s">
        <v>495</v>
      </c>
      <c r="E237" s="21" t="s">
        <v>510</v>
      </c>
      <c r="F237" s="21" t="s">
        <v>502</v>
      </c>
      <c r="G237" s="10" t="s">
        <v>1191</v>
      </c>
      <c r="H237" s="22" t="s">
        <v>17</v>
      </c>
    </row>
    <row r="238" spans="2:8" ht="43.2" x14ac:dyDescent="0.3">
      <c r="B238" s="18" t="str">
        <f>IFERROR(_xlfn.XLOOKUP(D238,'Historias de Usuario'!C:C,'Historias de Usuario'!B:B, "Selecciona una historia"), "")</f>
        <v>Administración Central SIGVE</v>
      </c>
      <c r="C238" s="10" t="str">
        <f>IFERROR(_xlfn.XLOOKUP(D238,'Historias de Usuario'!C:C,'Historias de Usuario'!D:D, "Selecciona una historia"), "")</f>
        <v>Como Admin SIGVE quiero gestionar el catálogo de vehículos del sistema para poder ver el listado, filtrar y registrar nuevos vehículos.</v>
      </c>
      <c r="D238" s="22" t="s">
        <v>1195</v>
      </c>
      <c r="E238" s="21" t="s">
        <v>513</v>
      </c>
      <c r="F238" s="6" t="s">
        <v>1197</v>
      </c>
      <c r="G238" s="10" t="s">
        <v>1191</v>
      </c>
      <c r="H238" s="9" t="s">
        <v>1217</v>
      </c>
    </row>
    <row r="239" spans="2:8" ht="43.2" x14ac:dyDescent="0.3">
      <c r="B239" s="18" t="str">
        <f>IFERROR(_xlfn.XLOOKUP(D239,'Historias de Usuario'!C:C,'Historias de Usuario'!B:B, "Selecciona una historia"), "")</f>
        <v>Administración Central SIGVE</v>
      </c>
      <c r="C239" s="10" t="str">
        <f>IFERROR(_xlfn.XLOOKUP(D239,'Historias de Usuario'!C:C,'Historias de Usuario'!D:D, "Selecciona una historia"), "")</f>
        <v>Como Admin SIGVE quiero gestionar el catálogo de vehículos del sistema para poder ver el listado, filtrar y registrar nuevos vehículos.</v>
      </c>
      <c r="D239" s="22" t="s">
        <v>1195</v>
      </c>
      <c r="E239" s="21" t="s">
        <v>526</v>
      </c>
      <c r="F239" s="6" t="s">
        <v>1198</v>
      </c>
      <c r="G239" s="10" t="s">
        <v>1191</v>
      </c>
      <c r="H239" s="9" t="s">
        <v>1217</v>
      </c>
    </row>
    <row r="240" spans="2:8" ht="43.2" x14ac:dyDescent="0.3">
      <c r="B240" s="18" t="str">
        <f>IFERROR(_xlfn.XLOOKUP(D240,'Historias de Usuario'!C:C,'Historias de Usuario'!B:B, "Selecciona una historia"), "")</f>
        <v>Administración Central SIGVE</v>
      </c>
      <c r="C240" s="10" t="str">
        <f>IFERROR(_xlfn.XLOOKUP(D240,'Historias de Usuario'!C:C,'Historias de Usuario'!D:D, "Selecciona una historia"), "")</f>
        <v>Como Admin SIGVE quiero gestionar el catálogo de vehículos del sistema para poder ver el listado, filtrar y registrar nuevos vehículos.</v>
      </c>
      <c r="D240" s="22" t="s">
        <v>1195</v>
      </c>
      <c r="E240" s="21" t="s">
        <v>527</v>
      </c>
      <c r="F240" s="6" t="s">
        <v>1199</v>
      </c>
      <c r="G240" s="10" t="s">
        <v>1191</v>
      </c>
      <c r="H240" s="9" t="s">
        <v>1217</v>
      </c>
    </row>
    <row r="241" spans="2:8" ht="43.2" x14ac:dyDescent="0.3">
      <c r="B241" s="18" t="str">
        <f>IFERROR(_xlfn.XLOOKUP(D241,'Historias de Usuario'!C:C,'Historias de Usuario'!B:B, "Selecciona una historia"), "")</f>
        <v>Administración Central SIGVE</v>
      </c>
      <c r="C241" s="10" t="str">
        <f>IFERROR(_xlfn.XLOOKUP(D241,'Historias de Usuario'!C:C,'Historias de Usuario'!D:D, "Selecciona una historia"), "")</f>
        <v>Como Admin SIGVE quiero gestionar el catálogo de vehículos del sistema para poder ver el listado, filtrar y registrar nuevos vehículos.</v>
      </c>
      <c r="D241" s="22" t="s">
        <v>1195</v>
      </c>
      <c r="E241" s="21" t="s">
        <v>528</v>
      </c>
      <c r="F241" s="6" t="s">
        <v>1200</v>
      </c>
      <c r="G241" s="10" t="s">
        <v>1191</v>
      </c>
      <c r="H241" s="9" t="s">
        <v>1217</v>
      </c>
    </row>
    <row r="242" spans="2:8" ht="43.2" x14ac:dyDescent="0.3">
      <c r="B242" s="18" t="str">
        <f>IFERROR(_xlfn.XLOOKUP(D242,'Historias de Usuario'!C:C,'Historias de Usuario'!B:B, "Selecciona una historia"), "")</f>
        <v>Administración Central SIGVE</v>
      </c>
      <c r="C242" s="10" t="str">
        <f>IFERROR(_xlfn.XLOOKUP(D242,'Historias de Usuario'!C:C,'Historias de Usuario'!D:D, "Selecciona una historia"), "")</f>
        <v>Como Admin SIGVE quiero gestionar el catálogo de vehículos del sistema para poder ver el listado, filtrar y registrar nuevos vehículos.</v>
      </c>
      <c r="D242" s="22" t="s">
        <v>1195</v>
      </c>
      <c r="E242" s="21" t="s">
        <v>529</v>
      </c>
      <c r="F242" s="5" t="s">
        <v>1201</v>
      </c>
      <c r="G242" s="10" t="s">
        <v>1191</v>
      </c>
      <c r="H242" s="9" t="s">
        <v>1217</v>
      </c>
    </row>
    <row r="243" spans="2:8" ht="43.2" x14ac:dyDescent="0.3">
      <c r="B243" s="18" t="str">
        <f>IFERROR(_xlfn.XLOOKUP(D243,'Historias de Usuario'!C:C,'Historias de Usuario'!B:B, "Selecciona una historia"), "")</f>
        <v>Administración Central SIGVE</v>
      </c>
      <c r="C243" s="10" t="str">
        <f>IFERROR(_xlfn.XLOOKUP(D243,'Historias de Usuario'!C:C,'Historias de Usuario'!D:D, "Selecciona una historia"), "")</f>
        <v>Como Admin SIGVE quiero gestionar el catálogo de vehículos del sistema para poder ver el listado, filtrar y registrar nuevos vehículos.</v>
      </c>
      <c r="D243" s="22" t="s">
        <v>1195</v>
      </c>
      <c r="E243" s="21" t="s">
        <v>530</v>
      </c>
      <c r="F243" s="6" t="s">
        <v>1202</v>
      </c>
      <c r="G243" s="10" t="s">
        <v>1191</v>
      </c>
      <c r="H243" s="9" t="s">
        <v>1217</v>
      </c>
    </row>
    <row r="244" spans="2:8" ht="43.2" x14ac:dyDescent="0.3">
      <c r="B244" s="18" t="str">
        <f>IFERROR(_xlfn.XLOOKUP(D244,'Historias de Usuario'!C:C,'Historias de Usuario'!B:B, "Selecciona una historia"), "")</f>
        <v>Administración Central SIGVE</v>
      </c>
      <c r="C244" s="10" t="str">
        <f>IFERROR(_xlfn.XLOOKUP(D244,'Historias de Usuario'!C:C,'Historias de Usuario'!D:D, "Selecciona una historia"), "")</f>
        <v>Como Admin SIGVE quiero gestionar el catálogo de vehículos del sistema para poder ver el listado, filtrar y registrar nuevos vehículos.</v>
      </c>
      <c r="D244" s="22" t="s">
        <v>1195</v>
      </c>
      <c r="E244" s="21" t="s">
        <v>531</v>
      </c>
      <c r="F244" s="6" t="s">
        <v>1203</v>
      </c>
      <c r="G244" s="10" t="s">
        <v>1191</v>
      </c>
      <c r="H244" s="9" t="s">
        <v>1217</v>
      </c>
    </row>
    <row r="245" spans="2:8" ht="43.2" x14ac:dyDescent="0.3">
      <c r="B245" s="18" t="str">
        <f>IFERROR(_xlfn.XLOOKUP(D245,'Historias de Usuario'!C:C,'Historias de Usuario'!B:B, "Selecciona una historia"), "")</f>
        <v>Administración Central SIGVE</v>
      </c>
      <c r="C245" s="10" t="str">
        <f>IFERROR(_xlfn.XLOOKUP(D245,'Historias de Usuario'!C:C,'Historias de Usuario'!D:D, "Selecciona una historia"), "")</f>
        <v>Como Admin SIGVE quiero gestionar el catálogo de vehículos del sistema para poder ver el listado, filtrar y registrar nuevos vehículos.</v>
      </c>
      <c r="D245" s="22" t="s">
        <v>1195</v>
      </c>
      <c r="E245" s="21" t="s">
        <v>532</v>
      </c>
      <c r="F245" s="6" t="s">
        <v>1204</v>
      </c>
      <c r="G245" s="10" t="s">
        <v>1191</v>
      </c>
      <c r="H245" s="9" t="s">
        <v>1217</v>
      </c>
    </row>
    <row r="246" spans="2:8" ht="43.2" x14ac:dyDescent="0.3">
      <c r="B246" s="18" t="str">
        <f>IFERROR(_xlfn.XLOOKUP(D246,'Historias de Usuario'!C:C,'Historias de Usuario'!B:B, "Selecciona una historia"), "")</f>
        <v>Administración Central SIGVE</v>
      </c>
      <c r="C246" s="10" t="str">
        <f>IFERROR(_xlfn.XLOOKUP(D246,'Historias de Usuario'!C:C,'Historias de Usuario'!D:D, "Selecciona una historia"), "")</f>
        <v>Como Admin SIGVE quiero gestionar el catálogo de vehículos del sistema para poder ver el listado, filtrar y registrar nuevos vehículos.</v>
      </c>
      <c r="D246" s="22" t="s">
        <v>1195</v>
      </c>
      <c r="E246" s="21" t="s">
        <v>533</v>
      </c>
      <c r="F246" s="6" t="s">
        <v>1205</v>
      </c>
      <c r="G246" s="10" t="s">
        <v>1191</v>
      </c>
      <c r="H246" s="9" t="s">
        <v>1217</v>
      </c>
    </row>
    <row r="247" spans="2:8" ht="43.2" x14ac:dyDescent="0.3">
      <c r="B247" s="18" t="str">
        <f>IFERROR(_xlfn.XLOOKUP(D247,'Historias de Usuario'!C:C,'Historias de Usuario'!B:B, "Selecciona una historia"), "")</f>
        <v>Administración Central SIGVE</v>
      </c>
      <c r="C247" s="10" t="str">
        <f>IFERROR(_xlfn.XLOOKUP(D247,'Historias de Usuario'!C:C,'Historias de Usuario'!D:D, "Selecciona una historia"), "")</f>
        <v>Como Admin SIGVE quiero gestionar el catálogo de vehículos del sistema para poder ver el listado, filtrar y registrar nuevos vehículos.</v>
      </c>
      <c r="D247" s="22" t="s">
        <v>1195</v>
      </c>
      <c r="E247" s="21" t="s">
        <v>534</v>
      </c>
      <c r="F247" s="6" t="s">
        <v>1206</v>
      </c>
      <c r="G247" s="10" t="s">
        <v>1191</v>
      </c>
      <c r="H247" s="9" t="s">
        <v>1217</v>
      </c>
    </row>
    <row r="248" spans="2:8" ht="43.2" x14ac:dyDescent="0.3">
      <c r="B248" s="20" t="str">
        <f>IFERROR(_xlfn.XLOOKUP(D248,'Historias de Usuario'!C:C,'Historias de Usuario'!B:B, "Selecciona una historia"), "")</f>
        <v>Gestión de Taller de Mantención</v>
      </c>
      <c r="C248" s="21" t="str">
        <f>IFERROR(_xlfn.XLOOKUP(D248,'Historias de Usuario'!C:C,'Historias de Usuario'!D:D, "Selecciona una historia"), "")</f>
        <v>Como usuario del taller quiero visualizar un dashboard con estadisticas del taller para tener una visión general del trabajo</v>
      </c>
      <c r="D248" s="22" t="s">
        <v>543</v>
      </c>
      <c r="E248" s="21" t="s">
        <v>535</v>
      </c>
      <c r="F248" s="21" t="s">
        <v>514</v>
      </c>
      <c r="G248" s="10" t="s">
        <v>1192</v>
      </c>
      <c r="H248" s="22" t="s">
        <v>17</v>
      </c>
    </row>
    <row r="249" spans="2:8" ht="43.2" x14ac:dyDescent="0.3">
      <c r="B249" s="20" t="str">
        <f>IFERROR(_xlfn.XLOOKUP(D249,'Historias de Usuario'!C:C,'Historias de Usuario'!B:B, "Selecciona una historia"), "")</f>
        <v>Gestión de Taller de Mantención</v>
      </c>
      <c r="C249" s="21" t="str">
        <f>IFERROR(_xlfn.XLOOKUP(D249,'Historias de Usuario'!C:C,'Historias de Usuario'!D:D, "Selecciona una historia"), "")</f>
        <v>Como usuario del taller quiero visualizar un dashboard con estadisticas del taller para tener una visión general del trabajo</v>
      </c>
      <c r="D249" s="22" t="s">
        <v>543</v>
      </c>
      <c r="E249" s="21" t="s">
        <v>536</v>
      </c>
      <c r="F249" s="21" t="s">
        <v>515</v>
      </c>
      <c r="G249" s="10" t="s">
        <v>1192</v>
      </c>
      <c r="H249" s="22" t="s">
        <v>17</v>
      </c>
    </row>
    <row r="250" spans="2:8" ht="43.2" x14ac:dyDescent="0.3">
      <c r="B250" s="20" t="str">
        <f>IFERROR(_xlfn.XLOOKUP(D250,'Historias de Usuario'!C:C,'Historias de Usuario'!B:B, "Selecciona una historia"), "")</f>
        <v>Gestión de Taller de Mantención</v>
      </c>
      <c r="C250" s="21" t="str">
        <f>IFERROR(_xlfn.XLOOKUP(D250,'Historias de Usuario'!C:C,'Historias de Usuario'!D:D, "Selecciona una historia"), "")</f>
        <v>Como usuario del taller quiero visualizar un dashboard con estadisticas del taller para tener una visión general del trabajo</v>
      </c>
      <c r="D250" s="22" t="s">
        <v>543</v>
      </c>
      <c r="E250" s="21" t="s">
        <v>537</v>
      </c>
      <c r="F250" s="21" t="s">
        <v>516</v>
      </c>
      <c r="G250" s="10" t="s">
        <v>1192</v>
      </c>
      <c r="H250" s="22" t="s">
        <v>17</v>
      </c>
    </row>
    <row r="251" spans="2:8" ht="43.2" x14ac:dyDescent="0.3">
      <c r="B251" s="20" t="str">
        <f>IFERROR(_xlfn.XLOOKUP(D251,'Historias de Usuario'!C:C,'Historias de Usuario'!B:B, "Selecciona una historia"), "")</f>
        <v>Gestión de Taller de Mantención</v>
      </c>
      <c r="C251" s="21" t="str">
        <f>IFERROR(_xlfn.XLOOKUP(D251,'Historias de Usuario'!C:C,'Historias de Usuario'!D:D, "Selecciona una historia"), "")</f>
        <v>Como usuario del taller quiero visualizar un dashboard con estadisticas del taller para tener una visión general del trabajo</v>
      </c>
      <c r="D251" s="22" t="s">
        <v>543</v>
      </c>
      <c r="E251" s="21" t="s">
        <v>538</v>
      </c>
      <c r="F251" s="21" t="s">
        <v>517</v>
      </c>
      <c r="G251" s="10" t="s">
        <v>1192</v>
      </c>
      <c r="H251" s="22" t="s">
        <v>17</v>
      </c>
    </row>
    <row r="252" spans="2:8" ht="43.2" x14ac:dyDescent="0.3">
      <c r="B252" s="20" t="str">
        <f>IFERROR(_xlfn.XLOOKUP(D252,'Historias de Usuario'!C:C,'Historias de Usuario'!B:B, "Selecciona una historia"), "")</f>
        <v>Gestión de Taller de Mantención</v>
      </c>
      <c r="C252" s="21" t="str">
        <f>IFERROR(_xlfn.XLOOKUP(D252,'Historias de Usuario'!C:C,'Historias de Usuario'!D:D, "Selecciona una historia"), "")</f>
        <v>Como usuario del taller quiero visualizar un dashboard con estadisticas del taller para tener una visión general del trabajo</v>
      </c>
      <c r="D252" s="22" t="s">
        <v>543</v>
      </c>
      <c r="E252" s="21" t="s">
        <v>539</v>
      </c>
      <c r="F252" s="21" t="s">
        <v>518</v>
      </c>
      <c r="G252" s="10" t="s">
        <v>1192</v>
      </c>
      <c r="H252" s="22" t="s">
        <v>17</v>
      </c>
    </row>
    <row r="253" spans="2:8" ht="43.2" x14ac:dyDescent="0.3">
      <c r="B253" s="20" t="str">
        <f>IFERROR(_xlfn.XLOOKUP(D253,'Historias de Usuario'!C:C,'Historias de Usuario'!B:B, "Selecciona una historia"), "")</f>
        <v>Gestión de Taller de Mantención</v>
      </c>
      <c r="C253" s="21" t="str">
        <f>IFERROR(_xlfn.XLOOKUP(D253,'Historias de Usuario'!C:C,'Historias de Usuario'!D:D, "Selecciona una historia"), "")</f>
        <v>Como usuario del taller quiero visualizar un dashboard con estadisticas del taller para tener una visión general del trabajo</v>
      </c>
      <c r="D253" s="22" t="s">
        <v>543</v>
      </c>
      <c r="E253" s="21" t="s">
        <v>540</v>
      </c>
      <c r="F253" s="21" t="s">
        <v>519</v>
      </c>
      <c r="G253" s="10" t="s">
        <v>1192</v>
      </c>
      <c r="H253" s="22" t="s">
        <v>17</v>
      </c>
    </row>
    <row r="254" spans="2:8" ht="43.2" x14ac:dyDescent="0.3">
      <c r="B254" s="20" t="str">
        <f>IFERROR(_xlfn.XLOOKUP(D254,'Historias de Usuario'!C:C,'Historias de Usuario'!B:B, "Selecciona una historia"), "")</f>
        <v>Gestión de Taller de Mantención</v>
      </c>
      <c r="C254" s="21" t="str">
        <f>IFERROR(_xlfn.XLOOKUP(D254,'Historias de Usuario'!C:C,'Historias de Usuario'!D:D, "Selecciona una historia"), "")</f>
        <v>Como usuario del taller quiero visualizar un dashboard con estadisticas del taller para tener una visión general del trabajo</v>
      </c>
      <c r="D254" s="22" t="s">
        <v>543</v>
      </c>
      <c r="E254" s="21" t="s">
        <v>541</v>
      </c>
      <c r="F254" s="21" t="s">
        <v>520</v>
      </c>
      <c r="G254" s="10" t="s">
        <v>1192</v>
      </c>
      <c r="H254" s="22" t="s">
        <v>17</v>
      </c>
    </row>
    <row r="255" spans="2:8" ht="43.2" x14ac:dyDescent="0.3">
      <c r="B255" s="20" t="str">
        <f>IFERROR(_xlfn.XLOOKUP(D255,'Historias de Usuario'!C:C,'Historias de Usuario'!B:B, "Selecciona una historia"), "")</f>
        <v>Gestión de Taller de Mantención</v>
      </c>
      <c r="C255" s="21" t="str">
        <f>IFERROR(_xlfn.XLOOKUP(D255,'Historias de Usuario'!C:C,'Historias de Usuario'!D:D, "Selecciona una historia"), "")</f>
        <v>Como usuario del taller quiero visualizar un dashboard con estadisticas del taller para tener una visión general del trabajo</v>
      </c>
      <c r="D255" s="22" t="s">
        <v>543</v>
      </c>
      <c r="E255" s="21" t="s">
        <v>542</v>
      </c>
      <c r="F255" s="21" t="s">
        <v>554</v>
      </c>
      <c r="G255" s="10" t="s">
        <v>1192</v>
      </c>
      <c r="H255" s="22" t="s">
        <v>17</v>
      </c>
    </row>
    <row r="256" spans="2:8" ht="43.2" x14ac:dyDescent="0.3">
      <c r="B256" s="20" t="str">
        <f>IFERROR(_xlfn.XLOOKUP(D256,'Historias de Usuario'!C:C,'Historias de Usuario'!B:B, "Selecciona una historia"), "")</f>
        <v>Gestión de Taller de Mantención</v>
      </c>
      <c r="C256" s="21" t="str">
        <f>IFERROR(_xlfn.XLOOKUP(D256,'Historias de Usuario'!C:C,'Historias de Usuario'!D:D, "Selecciona una historia"), "")</f>
        <v>Como usuario del taller quiero visualizar un dashboard con estadisticas del taller para tener una visión general del trabajo</v>
      </c>
      <c r="D256" s="22" t="s">
        <v>543</v>
      </c>
      <c r="E256" s="21" t="s">
        <v>573</v>
      </c>
      <c r="F256" s="21" t="s">
        <v>553</v>
      </c>
      <c r="G256" s="10" t="s">
        <v>1192</v>
      </c>
      <c r="H256" s="22" t="s">
        <v>17</v>
      </c>
    </row>
    <row r="257" spans="2:8" ht="43.2" x14ac:dyDescent="0.3">
      <c r="B257" s="20" t="str">
        <f>IFERROR(_xlfn.XLOOKUP(D257,'Historias de Usuario'!C:C,'Historias de Usuario'!B:B, "Selecciona una historia"), "")</f>
        <v>Gestión de Taller de Mantención</v>
      </c>
      <c r="C257" s="21" t="str">
        <f>IFERROR(_xlfn.XLOOKUP(D257,'Historias de Usuario'!C:C,'Historias de Usuario'!D:D, "Selecciona una historia"), "")</f>
        <v>Como usuario del taller quiero visualizar un dashboard con estadisticas del taller para tener una visión general del trabajo</v>
      </c>
      <c r="D257" s="22" t="s">
        <v>543</v>
      </c>
      <c r="E257" s="21" t="s">
        <v>574</v>
      </c>
      <c r="F257" s="21" t="s">
        <v>552</v>
      </c>
      <c r="G257" s="10" t="s">
        <v>1192</v>
      </c>
      <c r="H257" s="22" t="s">
        <v>17</v>
      </c>
    </row>
    <row r="258" spans="2:8" ht="43.2" x14ac:dyDescent="0.3">
      <c r="B258" s="20" t="str">
        <f>IFERROR(_xlfn.XLOOKUP(D258,'Historias de Usuario'!C:C,'Historias de Usuario'!B:B, "Selecciona una historia"), "")</f>
        <v>Gestión de Taller de Mantención</v>
      </c>
      <c r="C258" s="21" t="str">
        <f>IFERROR(_xlfn.XLOOKUP(D258,'Historias de Usuario'!C:C,'Historias de Usuario'!D:D, "Selecciona una historia"), "")</f>
        <v>Como usuario del taller quiero visualizar un dashboard con estadisticas del taller para tener una visión general del trabajo</v>
      </c>
      <c r="D258" s="22" t="s">
        <v>543</v>
      </c>
      <c r="E258" s="21" t="s">
        <v>575</v>
      </c>
      <c r="F258" s="21" t="s">
        <v>521</v>
      </c>
      <c r="G258" s="10" t="s">
        <v>1192</v>
      </c>
      <c r="H258" s="22" t="s">
        <v>17</v>
      </c>
    </row>
    <row r="259" spans="2:8" ht="43.2" x14ac:dyDescent="0.3">
      <c r="B259" s="20" t="str">
        <f>IFERROR(_xlfn.XLOOKUP(D259,'Historias de Usuario'!C:C,'Historias de Usuario'!B:B, "Selecciona una historia"), "")</f>
        <v>Gestión de Taller de Mantención</v>
      </c>
      <c r="C259" s="21" t="str">
        <f>IFERROR(_xlfn.XLOOKUP(D259,'Historias de Usuario'!C:C,'Historias de Usuario'!D:D, "Selecciona una historia"), "")</f>
        <v>Como usuario del taller quiero visualizar un dashboard con estadisticas del taller para tener una visión general del trabajo</v>
      </c>
      <c r="D259" s="22" t="s">
        <v>543</v>
      </c>
      <c r="E259" s="21" t="s">
        <v>576</v>
      </c>
      <c r="F259" s="21" t="s">
        <v>551</v>
      </c>
      <c r="G259" s="10" t="s">
        <v>1192</v>
      </c>
      <c r="H259" s="22" t="s">
        <v>17</v>
      </c>
    </row>
    <row r="260" spans="2:8" ht="43.2" x14ac:dyDescent="0.3">
      <c r="B260" s="20" t="str">
        <f>IFERROR(_xlfn.XLOOKUP(D260,'Historias de Usuario'!C:C,'Historias de Usuario'!B:B, "Selecciona una historia"), "")</f>
        <v>Gestión de Taller de Mantención</v>
      </c>
      <c r="C260" s="21" t="str">
        <f>IFERROR(_xlfn.XLOOKUP(D260,'Historias de Usuario'!C:C,'Historias de Usuario'!D:D, "Selecciona una historia"), "")</f>
        <v>Como usuario del taller quiero visualizar un dashboard con estadisticas del taller para tener una visión general del trabajo</v>
      </c>
      <c r="D260" s="22" t="s">
        <v>543</v>
      </c>
      <c r="E260" s="21" t="s">
        <v>577</v>
      </c>
      <c r="F260" s="21" t="s">
        <v>522</v>
      </c>
      <c r="G260" s="10" t="s">
        <v>1192</v>
      </c>
      <c r="H260" s="22" t="s">
        <v>17</v>
      </c>
    </row>
    <row r="261" spans="2:8" ht="43.2" x14ac:dyDescent="0.3">
      <c r="B261" s="20" t="str">
        <f>IFERROR(_xlfn.XLOOKUP(D261,'Historias de Usuario'!C:C,'Historias de Usuario'!B:B, "Selecciona una historia"), "")</f>
        <v>Gestión de Taller de Mantención</v>
      </c>
      <c r="C261" s="21" t="str">
        <f>IFERROR(_xlfn.XLOOKUP(D261,'Historias de Usuario'!C:C,'Historias de Usuario'!D:D, "Selecciona una historia"), "")</f>
        <v>Como usuario del taller quiero visualizar un dashboard con estadisticas del taller para tener una visión general del trabajo</v>
      </c>
      <c r="D261" s="22" t="s">
        <v>543</v>
      </c>
      <c r="E261" s="21" t="s">
        <v>578</v>
      </c>
      <c r="F261" s="21" t="s">
        <v>523</v>
      </c>
      <c r="G261" s="10" t="s">
        <v>1192</v>
      </c>
      <c r="H261" s="22" t="s">
        <v>17</v>
      </c>
    </row>
    <row r="262" spans="2:8" ht="43.2" x14ac:dyDescent="0.3">
      <c r="B262" s="20" t="str">
        <f>IFERROR(_xlfn.XLOOKUP(D262,'Historias de Usuario'!C:C,'Historias de Usuario'!B:B, "Selecciona una historia"), "")</f>
        <v>Gestión de Taller de Mantención</v>
      </c>
      <c r="C262" s="21" t="str">
        <f>IFERROR(_xlfn.XLOOKUP(D262,'Historias de Usuario'!C:C,'Historias de Usuario'!D:D, "Selecciona una historia"), "")</f>
        <v>Como usuario del taller quiero visualizar un dashboard con estadisticas del taller para tener una visión general del trabajo</v>
      </c>
      <c r="D262" s="22" t="s">
        <v>543</v>
      </c>
      <c r="E262" s="21" t="s">
        <v>579</v>
      </c>
      <c r="F262" s="21" t="s">
        <v>524</v>
      </c>
      <c r="G262" s="10" t="s">
        <v>1192</v>
      </c>
      <c r="H262" s="22" t="s">
        <v>17</v>
      </c>
    </row>
    <row r="263" spans="2:8" ht="43.2" x14ac:dyDescent="0.3">
      <c r="B263" s="20" t="str">
        <f>IFERROR(_xlfn.XLOOKUP(D263,'Historias de Usuario'!C:C,'Historias de Usuario'!B:B, "Selecciona una historia"), "")</f>
        <v>Gestión de Taller de Mantención</v>
      </c>
      <c r="C263" s="21" t="str">
        <f>IFERROR(_xlfn.XLOOKUP(D263,'Historias de Usuario'!C:C,'Historias de Usuario'!D:D, "Selecciona una historia"), "")</f>
        <v>Como usuario del taller quiero visualizar un dashboard con estadisticas del taller para tener una visión general del trabajo</v>
      </c>
      <c r="D263" s="22" t="s">
        <v>543</v>
      </c>
      <c r="E263" s="21" t="s">
        <v>580</v>
      </c>
      <c r="F263" s="21" t="s">
        <v>525</v>
      </c>
      <c r="G263" s="10" t="s">
        <v>1192</v>
      </c>
      <c r="H263" s="22" t="s">
        <v>17</v>
      </c>
    </row>
    <row r="264" spans="2:8" ht="43.2" x14ac:dyDescent="0.3">
      <c r="B264" s="20" t="str">
        <f>IFERROR(_xlfn.XLOOKUP(D264,'Historias de Usuario'!C:C,'Historias de Usuario'!B:B, "Selecciona una historia"), "")</f>
        <v>Gestión de Taller de Mantención</v>
      </c>
      <c r="C264" s="21" t="str">
        <f>IFERROR(_xlfn.XLOOKUP(D264,'Historias de Usuario'!C:C,'Historias de Usuario'!D:D, "Selecciona una historia"), "")</f>
        <v>Como usuario del taller quiero visualizar un dashboard con estadisticas del taller para tener una visión general del trabajo</v>
      </c>
      <c r="D264" s="22" t="s">
        <v>543</v>
      </c>
      <c r="E264" s="21" t="s">
        <v>581</v>
      </c>
      <c r="F264" s="21" t="s">
        <v>550</v>
      </c>
      <c r="G264" s="10" t="s">
        <v>1192</v>
      </c>
      <c r="H264" s="22" t="s">
        <v>17</v>
      </c>
    </row>
    <row r="265" spans="2:8" ht="43.2" x14ac:dyDescent="0.3">
      <c r="B265" s="20" t="str">
        <f>IFERROR(_xlfn.XLOOKUP(D265,'Historias de Usuario'!C:C,'Historias de Usuario'!B:B, "Selecciona una historia"), "")</f>
        <v>Gestión de Taller de Mantención</v>
      </c>
      <c r="C265" s="21" t="str">
        <f>IFERROR(_xlfn.XLOOKUP(D265,'Historias de Usuario'!C:C,'Historias de Usuario'!D:D, "Selecciona una historia"), "")</f>
        <v>Como usuario del taller quiero visualizar un dashboard con estadisticas del taller para tener una visión general del trabajo</v>
      </c>
      <c r="D265" s="22" t="s">
        <v>543</v>
      </c>
      <c r="E265" s="21" t="s">
        <v>582</v>
      </c>
      <c r="F265" s="21" t="s">
        <v>549</v>
      </c>
      <c r="G265" s="10" t="s">
        <v>1192</v>
      </c>
      <c r="H265" s="22" t="s">
        <v>17</v>
      </c>
    </row>
    <row r="266" spans="2:8" ht="43.2" x14ac:dyDescent="0.3">
      <c r="B266" s="20" t="str">
        <f>IFERROR(_xlfn.XLOOKUP(D266,'Historias de Usuario'!C:C,'Historias de Usuario'!B:B, "Selecciona una historia"), "")</f>
        <v>Gestión de Taller de Mantención</v>
      </c>
      <c r="C266" s="21" t="str">
        <f>IFERROR(_xlfn.XLOOKUP(D266,'Historias de Usuario'!C:C,'Historias de Usuario'!D:D, "Selecciona una historia"), "")</f>
        <v>Como usuario del taller quiero crear una orden de mantención de forma rápida para registrar vehículos que ingresan al taller</v>
      </c>
      <c r="D266" s="22" t="s">
        <v>546</v>
      </c>
      <c r="E266" s="21" t="s">
        <v>583</v>
      </c>
      <c r="F266" s="21" t="s">
        <v>548</v>
      </c>
      <c r="G266" s="10" t="s">
        <v>1192</v>
      </c>
      <c r="H266" s="22" t="s">
        <v>17</v>
      </c>
    </row>
    <row r="267" spans="2:8" ht="43.2" x14ac:dyDescent="0.3">
      <c r="B267" s="20" t="str">
        <f>IFERROR(_xlfn.XLOOKUP(D267,'Historias de Usuario'!C:C,'Historias de Usuario'!B:B, "Selecciona una historia"), "")</f>
        <v>Gestión de Taller de Mantención</v>
      </c>
      <c r="C267" s="21" t="str">
        <f>IFERROR(_xlfn.XLOOKUP(D267,'Historias de Usuario'!C:C,'Historias de Usuario'!D:D, "Selecciona una historia"), "")</f>
        <v>Como usuario del taller quiero crear una orden de mantención de forma rápida para registrar vehículos que ingresan al taller</v>
      </c>
      <c r="D267" s="22" t="s">
        <v>546</v>
      </c>
      <c r="E267" s="21" t="s">
        <v>584</v>
      </c>
      <c r="F267" s="21" t="s">
        <v>555</v>
      </c>
      <c r="G267" s="10" t="s">
        <v>1192</v>
      </c>
      <c r="H267" s="22" t="s">
        <v>17</v>
      </c>
    </row>
    <row r="268" spans="2:8" ht="43.2" x14ac:dyDescent="0.3">
      <c r="B268" s="20" t="str">
        <f>IFERROR(_xlfn.XLOOKUP(D268,'Historias de Usuario'!C:C,'Historias de Usuario'!B:B, "Selecciona una historia"), "")</f>
        <v>Gestión de Taller de Mantención</v>
      </c>
      <c r="C268" s="21" t="str">
        <f>IFERROR(_xlfn.XLOOKUP(D268,'Historias de Usuario'!C:C,'Historias de Usuario'!D:D, "Selecciona una historia"), "")</f>
        <v>Como usuario del taller quiero crear una orden de mantención de forma rápida para registrar vehículos que ingresan al taller</v>
      </c>
      <c r="D268" s="22" t="s">
        <v>546</v>
      </c>
      <c r="E268" s="21" t="s">
        <v>585</v>
      </c>
      <c r="F268" s="21" t="s">
        <v>556</v>
      </c>
      <c r="G268" s="10" t="s">
        <v>1192</v>
      </c>
      <c r="H268" s="22" t="s">
        <v>17</v>
      </c>
    </row>
    <row r="269" spans="2:8" ht="43.2" x14ac:dyDescent="0.3">
      <c r="B269" s="20" t="str">
        <f>IFERROR(_xlfn.XLOOKUP(D269,'Historias de Usuario'!C:C,'Historias de Usuario'!B:B, "Selecciona una historia"), "")</f>
        <v>Gestión de Taller de Mantención</v>
      </c>
      <c r="C269" s="21" t="str">
        <f>IFERROR(_xlfn.XLOOKUP(D269,'Historias de Usuario'!C:C,'Historias de Usuario'!D:D, "Selecciona una historia"), "")</f>
        <v>Como usuario del taller quiero crear una orden de mantención de forma rápida para registrar vehículos que ingresan al taller</v>
      </c>
      <c r="D269" s="22" t="s">
        <v>546</v>
      </c>
      <c r="E269" s="21" t="s">
        <v>586</v>
      </c>
      <c r="F269" s="21" t="s">
        <v>557</v>
      </c>
      <c r="G269" s="10" t="s">
        <v>1192</v>
      </c>
      <c r="H269" s="22" t="s">
        <v>17</v>
      </c>
    </row>
    <row r="270" spans="2:8" ht="43.2" x14ac:dyDescent="0.3">
      <c r="B270" s="20" t="str">
        <f>IFERROR(_xlfn.XLOOKUP(D270,'Historias de Usuario'!C:C,'Historias de Usuario'!B:B, "Selecciona una historia"), "")</f>
        <v>Gestión de Taller de Mantención</v>
      </c>
      <c r="C270" s="21" t="str">
        <f>IFERROR(_xlfn.XLOOKUP(D270,'Historias de Usuario'!C:C,'Historias de Usuario'!D:D, "Selecciona una historia"), "")</f>
        <v>Como usuario del taller quiero crear una orden de mantención de forma rápida para registrar vehículos que ingresan al taller</v>
      </c>
      <c r="D270" s="22" t="s">
        <v>546</v>
      </c>
      <c r="E270" s="21" t="s">
        <v>587</v>
      </c>
      <c r="F270" s="21" t="s">
        <v>558</v>
      </c>
      <c r="G270" s="10" t="s">
        <v>1192</v>
      </c>
      <c r="H270" s="22" t="s">
        <v>17</v>
      </c>
    </row>
    <row r="271" spans="2:8" ht="43.2" x14ac:dyDescent="0.3">
      <c r="B271" s="20" t="str">
        <f>IFERROR(_xlfn.XLOOKUP(D271,'Historias de Usuario'!C:C,'Historias de Usuario'!B:B, "Selecciona una historia"), "")</f>
        <v>Gestión de Taller de Mantención</v>
      </c>
      <c r="C271" s="21" t="str">
        <f>IFERROR(_xlfn.XLOOKUP(D271,'Historias de Usuario'!C:C,'Historias de Usuario'!D:D, "Selecciona una historia"), "")</f>
        <v>Como usuario del taller quiero crear una orden de mantención de forma rápida para registrar vehículos que ingresan al taller</v>
      </c>
      <c r="D271" s="22" t="s">
        <v>546</v>
      </c>
      <c r="E271" s="21" t="s">
        <v>588</v>
      </c>
      <c r="F271" s="21" t="s">
        <v>559</v>
      </c>
      <c r="G271" s="10" t="s">
        <v>1192</v>
      </c>
      <c r="H271" s="22" t="s">
        <v>17</v>
      </c>
    </row>
    <row r="272" spans="2:8" ht="43.2" x14ac:dyDescent="0.3">
      <c r="B272" s="20" t="str">
        <f>IFERROR(_xlfn.XLOOKUP(D272,'Historias de Usuario'!C:C,'Historias de Usuario'!B:B, "Selecciona una historia"), "")</f>
        <v>Gestión de Taller de Mantención</v>
      </c>
      <c r="C272" s="21" t="str">
        <f>IFERROR(_xlfn.XLOOKUP(D272,'Historias de Usuario'!C:C,'Historias de Usuario'!D:D, "Selecciona una historia"), "")</f>
        <v>Como usuario del taller quiero crear una orden de mantención de forma rápida para registrar vehículos que ingresan al taller</v>
      </c>
      <c r="D272" s="22" t="s">
        <v>546</v>
      </c>
      <c r="E272" s="21" t="s">
        <v>589</v>
      </c>
      <c r="F272" s="21" t="s">
        <v>560</v>
      </c>
      <c r="G272" s="10" t="s">
        <v>1192</v>
      </c>
      <c r="H272" s="22" t="s">
        <v>17</v>
      </c>
    </row>
    <row r="273" spans="2:8" ht="43.2" x14ac:dyDescent="0.3">
      <c r="B273" s="20" t="str">
        <f>IFERROR(_xlfn.XLOOKUP(D273,'Historias de Usuario'!C:C,'Historias de Usuario'!B:B, "Selecciona una historia"), "")</f>
        <v>Gestión de Taller de Mantención</v>
      </c>
      <c r="C273" s="21" t="str">
        <f>IFERROR(_xlfn.XLOOKUP(D273,'Historias de Usuario'!C:C,'Historias de Usuario'!D:D, "Selecciona una historia"), "")</f>
        <v>Como usuario del taller quiero crear una orden de mantención de forma rápida para registrar vehículos que ingresan al taller</v>
      </c>
      <c r="D273" s="22" t="s">
        <v>546</v>
      </c>
      <c r="E273" s="21" t="s">
        <v>590</v>
      </c>
      <c r="F273" s="21" t="s">
        <v>561</v>
      </c>
      <c r="G273" s="10" t="s">
        <v>1192</v>
      </c>
      <c r="H273" s="22" t="s">
        <v>17</v>
      </c>
    </row>
    <row r="274" spans="2:8" ht="43.2" x14ac:dyDescent="0.3">
      <c r="B274" s="20" t="str">
        <f>IFERROR(_xlfn.XLOOKUP(D274,'Historias de Usuario'!C:C,'Historias de Usuario'!B:B, "Selecciona una historia"), "")</f>
        <v>Gestión de Taller de Mantención</v>
      </c>
      <c r="C274" s="21" t="str">
        <f>IFERROR(_xlfn.XLOOKUP(D274,'Historias de Usuario'!C:C,'Historias de Usuario'!D:D, "Selecciona una historia"), "")</f>
        <v>Como usuario del taller quiero crear una orden de mantención de forma rápida para registrar vehículos que ingresan al taller</v>
      </c>
      <c r="D274" s="22" t="s">
        <v>546</v>
      </c>
      <c r="E274" s="21" t="s">
        <v>591</v>
      </c>
      <c r="F274" s="21" t="s">
        <v>562</v>
      </c>
      <c r="G274" s="10" t="s">
        <v>1192</v>
      </c>
      <c r="H274" s="22" t="s">
        <v>17</v>
      </c>
    </row>
    <row r="275" spans="2:8" ht="43.2" x14ac:dyDescent="0.3">
      <c r="B275" s="20" t="str">
        <f>IFERROR(_xlfn.XLOOKUP(D275,'Historias de Usuario'!C:C,'Historias de Usuario'!B:B, "Selecciona una historia"), "")</f>
        <v>Gestión de Taller de Mantención</v>
      </c>
      <c r="C275" s="21" t="str">
        <f>IFERROR(_xlfn.XLOOKUP(D275,'Historias de Usuario'!C:C,'Historias de Usuario'!D:D, "Selecciona una historia"), "")</f>
        <v>Como usuario del taller quiero crear una orden de mantención de forma rápida para registrar vehículos que ingresan al taller</v>
      </c>
      <c r="D275" s="22" t="s">
        <v>546</v>
      </c>
      <c r="E275" s="21" t="s">
        <v>592</v>
      </c>
      <c r="F275" s="21" t="s">
        <v>563</v>
      </c>
      <c r="G275" s="10" t="s">
        <v>1192</v>
      </c>
      <c r="H275" s="22" t="s">
        <v>17</v>
      </c>
    </row>
    <row r="276" spans="2:8" ht="43.2" x14ac:dyDescent="0.3">
      <c r="B276" s="20" t="str">
        <f>IFERROR(_xlfn.XLOOKUP(D276,'Historias de Usuario'!C:C,'Historias de Usuario'!B:B, "Selecciona una historia"), "")</f>
        <v>Gestión de Taller de Mantención</v>
      </c>
      <c r="C276" s="21" t="str">
        <f>IFERROR(_xlfn.XLOOKUP(D276,'Historias de Usuario'!C:C,'Historias de Usuario'!D:D, "Selecciona una historia"), "")</f>
        <v>Como usuario del taller quiero crear una orden de mantención de forma rápida para registrar vehículos que ingresan al taller</v>
      </c>
      <c r="D276" s="22" t="s">
        <v>546</v>
      </c>
      <c r="E276" s="21" t="s">
        <v>604</v>
      </c>
      <c r="F276" s="21" t="s">
        <v>564</v>
      </c>
      <c r="G276" s="10" t="s">
        <v>1192</v>
      </c>
      <c r="H276" s="22" t="s">
        <v>17</v>
      </c>
    </row>
    <row r="277" spans="2:8" ht="43.2" x14ac:dyDescent="0.3">
      <c r="B277" s="20" t="str">
        <f>IFERROR(_xlfn.XLOOKUP(D277,'Historias de Usuario'!C:C,'Historias de Usuario'!B:B, "Selecciona una historia"), "")</f>
        <v>Gestión de Taller de Mantención</v>
      </c>
      <c r="C277" s="21" t="str">
        <f>IFERROR(_xlfn.XLOOKUP(D277,'Historias de Usuario'!C:C,'Historias de Usuario'!D:D, "Selecciona una historia"), "")</f>
        <v>Como usuario del taller quiero crear una orden de mantención de forma rápida para registrar vehículos que ingresan al taller</v>
      </c>
      <c r="D277" s="22" t="s">
        <v>546</v>
      </c>
      <c r="E277" s="21" t="s">
        <v>605</v>
      </c>
      <c r="F277" s="21" t="s">
        <v>565</v>
      </c>
      <c r="G277" s="10" t="s">
        <v>1192</v>
      </c>
      <c r="H277" s="22" t="s">
        <v>17</v>
      </c>
    </row>
    <row r="278" spans="2:8" ht="43.2" x14ac:dyDescent="0.3">
      <c r="B278" s="20" t="str">
        <f>IFERROR(_xlfn.XLOOKUP(D278,'Historias de Usuario'!C:C,'Historias de Usuario'!B:B, "Selecciona una historia"), "")</f>
        <v>Gestión de Taller de Mantención</v>
      </c>
      <c r="C278" s="21" t="str">
        <f>IFERROR(_xlfn.XLOOKUP(D278,'Historias de Usuario'!C:C,'Historias de Usuario'!D:D, "Selecciona una historia"), "")</f>
        <v>Como usuario del taller quiero crear una orden de mantención de forma rápida para registrar vehículos que ingresan al taller</v>
      </c>
      <c r="D278" s="22" t="s">
        <v>546</v>
      </c>
      <c r="E278" s="21" t="s">
        <v>606</v>
      </c>
      <c r="F278" s="21" t="s">
        <v>566</v>
      </c>
      <c r="G278" s="10" t="s">
        <v>1192</v>
      </c>
      <c r="H278" s="22" t="s">
        <v>17</v>
      </c>
    </row>
    <row r="279" spans="2:8" ht="43.2" x14ac:dyDescent="0.3">
      <c r="B279" s="20" t="str">
        <f>IFERROR(_xlfn.XLOOKUP(D279,'Historias de Usuario'!C:C,'Historias de Usuario'!B:B, "Selecciona una historia"), "")</f>
        <v>Gestión de Taller de Mantención</v>
      </c>
      <c r="C279" s="21" t="str">
        <f>IFERROR(_xlfn.XLOOKUP(D279,'Historias de Usuario'!C:C,'Historias de Usuario'!D:D, "Selecciona una historia"), "")</f>
        <v>Como usuario del taller quiero crear una orden de mantención de forma rápida para registrar vehículos que ingresan al taller</v>
      </c>
      <c r="D279" s="22" t="s">
        <v>546</v>
      </c>
      <c r="E279" s="21" t="s">
        <v>607</v>
      </c>
      <c r="F279" s="21" t="s">
        <v>567</v>
      </c>
      <c r="G279" s="10" t="s">
        <v>1192</v>
      </c>
      <c r="H279" s="22" t="s">
        <v>17</v>
      </c>
    </row>
    <row r="280" spans="2:8" ht="43.2" x14ac:dyDescent="0.3">
      <c r="B280" s="20" t="str">
        <f>IFERROR(_xlfn.XLOOKUP(D280,'Historias de Usuario'!C:C,'Historias de Usuario'!B:B, "Selecciona una historia"), "")</f>
        <v>Gestión de Taller de Mantención</v>
      </c>
      <c r="C280" s="21" t="str">
        <f>IFERROR(_xlfn.XLOOKUP(D280,'Historias de Usuario'!C:C,'Historias de Usuario'!D:D, "Selecciona una historia"), "")</f>
        <v>Como usuario del taller quiero crear una orden de mantención de forma rápida para registrar vehículos que ingresan al taller</v>
      </c>
      <c r="D280" s="22" t="s">
        <v>546</v>
      </c>
      <c r="E280" s="21" t="s">
        <v>608</v>
      </c>
      <c r="F280" s="21" t="s">
        <v>568</v>
      </c>
      <c r="G280" s="10" t="s">
        <v>1192</v>
      </c>
      <c r="H280" s="22" t="s">
        <v>17</v>
      </c>
    </row>
    <row r="281" spans="2:8" ht="43.2" x14ac:dyDescent="0.3">
      <c r="B281" s="20" t="str">
        <f>IFERROR(_xlfn.XLOOKUP(D281,'Historias de Usuario'!C:C,'Historias de Usuario'!B:B, "Selecciona una historia"), "")</f>
        <v>Gestión de Taller de Mantención</v>
      </c>
      <c r="C281" s="21" t="str">
        <f>IFERROR(_xlfn.XLOOKUP(D281,'Historias de Usuario'!C:C,'Historias de Usuario'!D:D, "Selecciona una historia"), "")</f>
        <v>Como usuario del taller quiero crear una orden de mantención de forma rápida para registrar vehículos que ingresan al taller</v>
      </c>
      <c r="D281" s="22" t="s">
        <v>546</v>
      </c>
      <c r="E281" s="21" t="s">
        <v>609</v>
      </c>
      <c r="F281" s="21" t="s">
        <v>569</v>
      </c>
      <c r="G281" s="10" t="s">
        <v>1192</v>
      </c>
      <c r="H281" s="22" t="s">
        <v>17</v>
      </c>
    </row>
    <row r="282" spans="2:8" ht="43.2" x14ac:dyDescent="0.3">
      <c r="B282" s="20" t="str">
        <f>IFERROR(_xlfn.XLOOKUP(D282,'Historias de Usuario'!C:C,'Historias de Usuario'!B:B, "Selecciona una historia"), "")</f>
        <v>Gestión de Taller de Mantención</v>
      </c>
      <c r="C282" s="21" t="str">
        <f>IFERROR(_xlfn.XLOOKUP(D282,'Historias de Usuario'!C:C,'Historias de Usuario'!D:D, "Selecciona una historia"), "")</f>
        <v>Como usuario del taller quiero crear una orden de mantención de forma rápida para registrar vehículos que ingresan al taller</v>
      </c>
      <c r="D282" s="22" t="s">
        <v>546</v>
      </c>
      <c r="E282" s="21" t="s">
        <v>610</v>
      </c>
      <c r="F282" s="21" t="s">
        <v>570</v>
      </c>
      <c r="G282" s="10" t="s">
        <v>1192</v>
      </c>
      <c r="H282" s="22" t="s">
        <v>17</v>
      </c>
    </row>
    <row r="283" spans="2:8" ht="43.2" x14ac:dyDescent="0.3">
      <c r="B283" s="20" t="str">
        <f>IFERROR(_xlfn.XLOOKUP(D283,'Historias de Usuario'!C:C,'Historias de Usuario'!B:B, "Selecciona una historia"), "")</f>
        <v>Gestión de Taller de Mantención</v>
      </c>
      <c r="C283" s="21" t="str">
        <f>IFERROR(_xlfn.XLOOKUP(D283,'Historias de Usuario'!C:C,'Historias de Usuario'!D:D, "Selecciona una historia"), "")</f>
        <v>Como usuario del taller quiero crear una orden de mantención de forma rápida para registrar vehículos que ingresan al taller</v>
      </c>
      <c r="D283" s="22" t="s">
        <v>546</v>
      </c>
      <c r="E283" s="21" t="s">
        <v>611</v>
      </c>
      <c r="F283" s="21" t="s">
        <v>374</v>
      </c>
      <c r="G283" s="10" t="s">
        <v>1192</v>
      </c>
      <c r="H283" s="22" t="s">
        <v>17</v>
      </c>
    </row>
    <row r="284" spans="2:8" ht="43.2" x14ac:dyDescent="0.3">
      <c r="B284" s="20" t="str">
        <f>IFERROR(_xlfn.XLOOKUP(D284,'Historias de Usuario'!C:C,'Historias de Usuario'!B:B, "Selecciona una historia"), "")</f>
        <v>Gestión de Taller de Mantención</v>
      </c>
      <c r="C284" s="21" t="str">
        <f>IFERROR(_xlfn.XLOOKUP(D284,'Historias de Usuario'!C:C,'Historias de Usuario'!D:D, "Selecciona una historia"), "")</f>
        <v>Como usuario del taller quiero crear una orden de mantención de forma rápida para registrar vehículos que ingresan al taller</v>
      </c>
      <c r="D284" s="22" t="s">
        <v>546</v>
      </c>
      <c r="E284" s="21" t="s">
        <v>612</v>
      </c>
      <c r="F284" s="21" t="s">
        <v>571</v>
      </c>
      <c r="G284" s="10" t="s">
        <v>1192</v>
      </c>
      <c r="H284" s="22" t="s">
        <v>17</v>
      </c>
    </row>
    <row r="285" spans="2:8" ht="43.2" x14ac:dyDescent="0.3">
      <c r="B285" s="20" t="str">
        <f>IFERROR(_xlfn.XLOOKUP(D285,'Historias de Usuario'!C:C,'Historias de Usuario'!B:B, "Selecciona una historia"), "")</f>
        <v>Gestión de Taller de Mantención</v>
      </c>
      <c r="C285" s="21" t="str">
        <f>IFERROR(_xlfn.XLOOKUP(D285,'Historias de Usuario'!C:C,'Historias de Usuario'!D:D, "Selecciona una historia"), "")</f>
        <v>Como usuario del taller quiero crear una orden de mantención de forma rápida para registrar vehículos que ingresan al taller</v>
      </c>
      <c r="D285" s="22" t="s">
        <v>546</v>
      </c>
      <c r="E285" s="21" t="s">
        <v>613</v>
      </c>
      <c r="F285" s="21" t="s">
        <v>572</v>
      </c>
      <c r="G285" s="10" t="s">
        <v>1192</v>
      </c>
      <c r="H285" s="22" t="s">
        <v>17</v>
      </c>
    </row>
    <row r="286" spans="2:8" ht="30" x14ac:dyDescent="0.3">
      <c r="B286" s="20" t="str">
        <f>IFERROR(_xlfn.XLOOKUP(D286,'Historias de Usuario'!C:C,'Historias de Usuario'!B:B, "Selecciona una historia"), "")</f>
        <v>Gestión de Taller de Mantención</v>
      </c>
      <c r="C286" s="21" t="str">
        <f>IFERROR(_xlfn.XLOOKUP(D286,'Historias de Usuario'!C:C,'Historias de Usuario'!D:D, "Selecciona una historia"), "")</f>
        <v>Como usuario del taller quiero ver el listado de órdenes de mantención para gestionar el trabajo del taller</v>
      </c>
      <c r="D286" s="22" t="s">
        <v>547</v>
      </c>
      <c r="E286" s="21" t="s">
        <v>614</v>
      </c>
      <c r="F286" s="21" t="s">
        <v>593</v>
      </c>
      <c r="G286" s="10" t="s">
        <v>1192</v>
      </c>
      <c r="H286" s="22" t="s">
        <v>17</v>
      </c>
    </row>
    <row r="287" spans="2:8" ht="30" x14ac:dyDescent="0.3">
      <c r="B287" s="20" t="str">
        <f>IFERROR(_xlfn.XLOOKUP(D287,'Historias de Usuario'!C:C,'Historias de Usuario'!B:B, "Selecciona una historia"), "")</f>
        <v>Gestión de Taller de Mantención</v>
      </c>
      <c r="C287" s="21" t="str">
        <f>IFERROR(_xlfn.XLOOKUP(D287,'Historias de Usuario'!C:C,'Historias de Usuario'!D:D, "Selecciona una historia"), "")</f>
        <v>Como usuario del taller quiero ver el listado de órdenes de mantención para gestionar el trabajo del taller</v>
      </c>
      <c r="D287" s="22" t="s">
        <v>547</v>
      </c>
      <c r="E287" s="21" t="s">
        <v>615</v>
      </c>
      <c r="F287" s="21" t="s">
        <v>594</v>
      </c>
      <c r="G287" s="10" t="s">
        <v>1192</v>
      </c>
      <c r="H287" s="22" t="s">
        <v>17</v>
      </c>
    </row>
    <row r="288" spans="2:8" ht="30" x14ac:dyDescent="0.3">
      <c r="B288" s="20" t="str">
        <f>IFERROR(_xlfn.XLOOKUP(D288,'Historias de Usuario'!C:C,'Historias de Usuario'!B:B, "Selecciona una historia"), "")</f>
        <v>Gestión de Taller de Mantención</v>
      </c>
      <c r="C288" s="21" t="str">
        <f>IFERROR(_xlfn.XLOOKUP(D288,'Historias de Usuario'!C:C,'Historias de Usuario'!D:D, "Selecciona una historia"), "")</f>
        <v>Como usuario del taller quiero ver el listado de órdenes de mantención para gestionar el trabajo del taller</v>
      </c>
      <c r="D288" s="22" t="s">
        <v>547</v>
      </c>
      <c r="E288" s="21" t="s">
        <v>639</v>
      </c>
      <c r="F288" s="21" t="s">
        <v>595</v>
      </c>
      <c r="G288" s="10" t="s">
        <v>1192</v>
      </c>
      <c r="H288" s="22" t="s">
        <v>17</v>
      </c>
    </row>
    <row r="289" spans="2:8" ht="30" x14ac:dyDescent="0.3">
      <c r="B289" s="20" t="str">
        <f>IFERROR(_xlfn.XLOOKUP(D289,'Historias de Usuario'!C:C,'Historias de Usuario'!B:B, "Selecciona una historia"), "")</f>
        <v>Gestión de Taller de Mantención</v>
      </c>
      <c r="C289" s="21" t="str">
        <f>IFERROR(_xlfn.XLOOKUP(D289,'Historias de Usuario'!C:C,'Historias de Usuario'!D:D, "Selecciona una historia"), "")</f>
        <v>Como usuario del taller quiero ver el listado de órdenes de mantención para gestionar el trabajo del taller</v>
      </c>
      <c r="D289" s="22" t="s">
        <v>547</v>
      </c>
      <c r="E289" s="21" t="s">
        <v>640</v>
      </c>
      <c r="F289" s="21" t="s">
        <v>596</v>
      </c>
      <c r="G289" s="10" t="s">
        <v>1192</v>
      </c>
      <c r="H289" s="22" t="s">
        <v>17</v>
      </c>
    </row>
    <row r="290" spans="2:8" ht="30" x14ac:dyDescent="0.3">
      <c r="B290" s="20" t="str">
        <f>IFERROR(_xlfn.XLOOKUP(D290,'Historias de Usuario'!C:C,'Historias de Usuario'!B:B, "Selecciona una historia"), "")</f>
        <v>Gestión de Taller de Mantención</v>
      </c>
      <c r="C290" s="21" t="str">
        <f>IFERROR(_xlfn.XLOOKUP(D290,'Historias de Usuario'!C:C,'Historias de Usuario'!D:D, "Selecciona una historia"), "")</f>
        <v>Como usuario del taller quiero ver el listado de órdenes de mantención para gestionar el trabajo del taller</v>
      </c>
      <c r="D290" s="22" t="s">
        <v>547</v>
      </c>
      <c r="E290" s="21" t="s">
        <v>641</v>
      </c>
      <c r="F290" s="21" t="s">
        <v>597</v>
      </c>
      <c r="G290" s="10" t="s">
        <v>1192</v>
      </c>
      <c r="H290" s="22" t="s">
        <v>17</v>
      </c>
    </row>
    <row r="291" spans="2:8" ht="30" x14ac:dyDescent="0.3">
      <c r="B291" s="20" t="str">
        <f>IFERROR(_xlfn.XLOOKUP(D291,'Historias de Usuario'!C:C,'Historias de Usuario'!B:B, "Selecciona una historia"), "")</f>
        <v>Gestión de Taller de Mantención</v>
      </c>
      <c r="C291" s="21" t="str">
        <f>IFERROR(_xlfn.XLOOKUP(D291,'Historias de Usuario'!C:C,'Historias de Usuario'!D:D, "Selecciona una historia"), "")</f>
        <v>Como usuario del taller quiero ver el listado de órdenes de mantención para gestionar el trabajo del taller</v>
      </c>
      <c r="D291" s="22" t="s">
        <v>547</v>
      </c>
      <c r="E291" s="21" t="s">
        <v>642</v>
      </c>
      <c r="F291" s="21" t="s">
        <v>598</v>
      </c>
      <c r="G291" s="10" t="s">
        <v>1192</v>
      </c>
      <c r="H291" s="22" t="s">
        <v>17</v>
      </c>
    </row>
    <row r="292" spans="2:8" ht="30" x14ac:dyDescent="0.3">
      <c r="B292" s="20" t="str">
        <f>IFERROR(_xlfn.XLOOKUP(D292,'Historias de Usuario'!C:C,'Historias de Usuario'!B:B, "Selecciona una historia"), "")</f>
        <v>Gestión de Taller de Mantención</v>
      </c>
      <c r="C292" s="21" t="str">
        <f>IFERROR(_xlfn.XLOOKUP(D292,'Historias de Usuario'!C:C,'Historias de Usuario'!D:D, "Selecciona una historia"), "")</f>
        <v>Como usuario del taller quiero ver el listado de órdenes de mantención para gestionar el trabajo del taller</v>
      </c>
      <c r="D292" s="22" t="s">
        <v>547</v>
      </c>
      <c r="E292" s="21" t="s">
        <v>643</v>
      </c>
      <c r="F292" s="21" t="s">
        <v>599</v>
      </c>
      <c r="G292" s="10" t="s">
        <v>1192</v>
      </c>
      <c r="H292" s="22" t="s">
        <v>17</v>
      </c>
    </row>
    <row r="293" spans="2:8" ht="30" x14ac:dyDescent="0.3">
      <c r="B293" s="20" t="str">
        <f>IFERROR(_xlfn.XLOOKUP(D293,'Historias de Usuario'!C:C,'Historias de Usuario'!B:B, "Selecciona una historia"), "")</f>
        <v>Gestión de Taller de Mantención</v>
      </c>
      <c r="C293" s="21" t="str">
        <f>IFERROR(_xlfn.XLOOKUP(D293,'Historias de Usuario'!C:C,'Historias de Usuario'!D:D, "Selecciona una historia"), "")</f>
        <v>Como usuario del taller quiero ver el listado de órdenes de mantención para gestionar el trabajo del taller</v>
      </c>
      <c r="D293" s="22" t="s">
        <v>547</v>
      </c>
      <c r="E293" s="21" t="s">
        <v>644</v>
      </c>
      <c r="F293" s="21" t="s">
        <v>600</v>
      </c>
      <c r="G293" s="10" t="s">
        <v>1192</v>
      </c>
      <c r="H293" s="22" t="s">
        <v>17</v>
      </c>
    </row>
    <row r="294" spans="2:8" ht="30" x14ac:dyDescent="0.3">
      <c r="B294" s="20" t="str">
        <f>IFERROR(_xlfn.XLOOKUP(D294,'Historias de Usuario'!C:C,'Historias de Usuario'!B:B, "Selecciona una historia"), "")</f>
        <v>Gestión de Taller de Mantención</v>
      </c>
      <c r="C294" s="21" t="str">
        <f>IFERROR(_xlfn.XLOOKUP(D294,'Historias de Usuario'!C:C,'Historias de Usuario'!D:D, "Selecciona una historia"), "")</f>
        <v>Como usuario del taller quiero ver el listado de órdenes de mantención para gestionar el trabajo del taller</v>
      </c>
      <c r="D294" s="22" t="s">
        <v>547</v>
      </c>
      <c r="E294" s="21" t="s">
        <v>645</v>
      </c>
      <c r="F294" s="21" t="s">
        <v>601</v>
      </c>
      <c r="G294" s="10" t="s">
        <v>1192</v>
      </c>
      <c r="H294" s="22" t="s">
        <v>17</v>
      </c>
    </row>
    <row r="295" spans="2:8" ht="30" x14ac:dyDescent="0.3">
      <c r="B295" s="20" t="str">
        <f>IFERROR(_xlfn.XLOOKUP(D295,'Historias de Usuario'!C:C,'Historias de Usuario'!B:B, "Selecciona una historia"), "")</f>
        <v>Gestión de Taller de Mantención</v>
      </c>
      <c r="C295" s="21" t="str">
        <f>IFERROR(_xlfn.XLOOKUP(D295,'Historias de Usuario'!C:C,'Historias de Usuario'!D:D, "Selecciona una historia"), "")</f>
        <v>Como usuario del taller quiero ver el listado de órdenes de mantención para gestionar el trabajo del taller</v>
      </c>
      <c r="D295" s="22" t="s">
        <v>547</v>
      </c>
      <c r="E295" s="21" t="s">
        <v>646</v>
      </c>
      <c r="F295" s="21" t="s">
        <v>602</v>
      </c>
      <c r="G295" s="10" t="s">
        <v>1192</v>
      </c>
      <c r="H295" s="22" t="s">
        <v>17</v>
      </c>
    </row>
    <row r="296" spans="2:8" ht="30" x14ac:dyDescent="0.3">
      <c r="B296" s="20" t="str">
        <f>IFERROR(_xlfn.XLOOKUP(D296,'Historias de Usuario'!C:C,'Historias de Usuario'!B:B, "Selecciona una historia"), "")</f>
        <v>Gestión de Taller de Mantención</v>
      </c>
      <c r="C296" s="21" t="str">
        <f>IFERROR(_xlfn.XLOOKUP(D296,'Historias de Usuario'!C:C,'Historias de Usuario'!D:D, "Selecciona una historia"), "")</f>
        <v>Como usuario del taller quiero ver el listado de órdenes de mantención para gestionar el trabajo del taller</v>
      </c>
      <c r="D296" s="22" t="s">
        <v>547</v>
      </c>
      <c r="E296" s="21" t="s">
        <v>647</v>
      </c>
      <c r="F296" s="21" t="s">
        <v>603</v>
      </c>
      <c r="G296" s="10" t="s">
        <v>1192</v>
      </c>
      <c r="H296" s="22" t="s">
        <v>17</v>
      </c>
    </row>
    <row r="297" spans="2:8" ht="30" x14ac:dyDescent="0.3">
      <c r="B297" s="20" t="str">
        <f>IFERROR(_xlfn.XLOOKUP(D297,'Historias de Usuario'!C:C,'Historias de Usuario'!B:B, "Selecciona una historia"), "")</f>
        <v>Gestión de Taller de Mantención</v>
      </c>
      <c r="C297" s="21" t="str">
        <f>IFERROR(_xlfn.XLOOKUP(D297,'Historias de Usuario'!C:C,'Historias de Usuario'!D:D, "Selecciona una historia"), "")</f>
        <v>Como usuario del taller quiero ver la ficha de una orden de mantención para gestionar las tareas y repuestos</v>
      </c>
      <c r="D297" s="22" t="s">
        <v>617</v>
      </c>
      <c r="E297" s="21" t="s">
        <v>648</v>
      </c>
      <c r="F297" s="21" t="s">
        <v>618</v>
      </c>
      <c r="G297" s="10" t="s">
        <v>1192</v>
      </c>
      <c r="H297" s="22" t="s">
        <v>17</v>
      </c>
    </row>
    <row r="298" spans="2:8" ht="30" x14ac:dyDescent="0.3">
      <c r="B298" s="20" t="str">
        <f>IFERROR(_xlfn.XLOOKUP(D298,'Historias de Usuario'!C:C,'Historias de Usuario'!B:B, "Selecciona una historia"), "")</f>
        <v>Gestión de Taller de Mantención</v>
      </c>
      <c r="C298" s="21" t="str">
        <f>IFERROR(_xlfn.XLOOKUP(D298,'Historias de Usuario'!C:C,'Historias de Usuario'!D:D, "Selecciona una historia"), "")</f>
        <v>Como usuario del taller quiero ver la ficha de una orden de mantención para gestionar las tareas y repuestos</v>
      </c>
      <c r="D298" s="22" t="s">
        <v>617</v>
      </c>
      <c r="E298" s="21" t="s">
        <v>649</v>
      </c>
      <c r="F298" s="21" t="s">
        <v>619</v>
      </c>
      <c r="G298" s="10" t="s">
        <v>1192</v>
      </c>
      <c r="H298" s="22" t="s">
        <v>17</v>
      </c>
    </row>
    <row r="299" spans="2:8" ht="30" x14ac:dyDescent="0.3">
      <c r="B299" s="20" t="str">
        <f>IFERROR(_xlfn.XLOOKUP(D299,'Historias de Usuario'!C:C,'Historias de Usuario'!B:B, "Selecciona una historia"), "")</f>
        <v>Gestión de Taller de Mantención</v>
      </c>
      <c r="C299" s="21" t="str">
        <f>IFERROR(_xlfn.XLOOKUP(D299,'Historias de Usuario'!C:C,'Historias de Usuario'!D:D, "Selecciona una historia"), "")</f>
        <v>Como usuario del taller quiero ver la ficha de una orden de mantención para gestionar las tareas y repuestos</v>
      </c>
      <c r="D299" s="22" t="s">
        <v>617</v>
      </c>
      <c r="E299" s="21" t="s">
        <v>650</v>
      </c>
      <c r="F299" s="21" t="s">
        <v>620</v>
      </c>
      <c r="G299" s="10" t="s">
        <v>1192</v>
      </c>
      <c r="H299" s="22" t="s">
        <v>17</v>
      </c>
    </row>
    <row r="300" spans="2:8" ht="30" x14ac:dyDescent="0.3">
      <c r="B300" s="20" t="str">
        <f>IFERROR(_xlfn.XLOOKUP(D300,'Historias de Usuario'!C:C,'Historias de Usuario'!B:B, "Selecciona una historia"), "")</f>
        <v>Gestión de Taller de Mantención</v>
      </c>
      <c r="C300" s="21" t="str">
        <f>IFERROR(_xlfn.XLOOKUP(D300,'Historias de Usuario'!C:C,'Historias de Usuario'!D:D, "Selecciona una historia"), "")</f>
        <v>Como usuario del taller quiero ver la ficha de una orden de mantención para gestionar las tareas y repuestos</v>
      </c>
      <c r="D300" s="22" t="s">
        <v>617</v>
      </c>
      <c r="E300" s="21" t="s">
        <v>651</v>
      </c>
      <c r="F300" s="21" t="s">
        <v>621</v>
      </c>
      <c r="G300" s="10" t="s">
        <v>1192</v>
      </c>
      <c r="H300" s="22" t="s">
        <v>17</v>
      </c>
    </row>
    <row r="301" spans="2:8" ht="30" x14ac:dyDescent="0.3">
      <c r="B301" s="20" t="str">
        <f>IFERROR(_xlfn.XLOOKUP(D301,'Historias de Usuario'!C:C,'Historias de Usuario'!B:B, "Selecciona una historia"), "")</f>
        <v>Gestión de Taller de Mantención</v>
      </c>
      <c r="C301" s="21" t="str">
        <f>IFERROR(_xlfn.XLOOKUP(D301,'Historias de Usuario'!C:C,'Historias de Usuario'!D:D, "Selecciona una historia"), "")</f>
        <v>Como usuario del taller quiero ver la ficha de una orden de mantención para gestionar las tareas y repuestos</v>
      </c>
      <c r="D301" s="22" t="s">
        <v>617</v>
      </c>
      <c r="E301" s="21" t="s">
        <v>652</v>
      </c>
      <c r="F301" s="21" t="s">
        <v>622</v>
      </c>
      <c r="G301" s="10" t="s">
        <v>1192</v>
      </c>
      <c r="H301" s="22" t="s">
        <v>17</v>
      </c>
    </row>
    <row r="302" spans="2:8" ht="30" x14ac:dyDescent="0.3">
      <c r="B302" s="20" t="str">
        <f>IFERROR(_xlfn.XLOOKUP(D302,'Historias de Usuario'!C:C,'Historias de Usuario'!B:B, "Selecciona una historia"), "")</f>
        <v>Gestión de Taller de Mantención</v>
      </c>
      <c r="C302" s="21" t="str">
        <f>IFERROR(_xlfn.XLOOKUP(D302,'Historias de Usuario'!C:C,'Historias de Usuario'!D:D, "Selecciona una historia"), "")</f>
        <v>Como usuario del taller quiero ver la ficha de una orden de mantención para gestionar las tareas y repuestos</v>
      </c>
      <c r="D302" s="22" t="s">
        <v>617</v>
      </c>
      <c r="E302" s="21" t="s">
        <v>653</v>
      </c>
      <c r="F302" s="21" t="s">
        <v>623</v>
      </c>
      <c r="G302" s="10" t="s">
        <v>1192</v>
      </c>
      <c r="H302" s="22" t="s">
        <v>17</v>
      </c>
    </row>
    <row r="303" spans="2:8" ht="30" x14ac:dyDescent="0.3">
      <c r="B303" s="20" t="str">
        <f>IFERROR(_xlfn.XLOOKUP(D303,'Historias de Usuario'!C:C,'Historias de Usuario'!B:B, "Selecciona una historia"), "")</f>
        <v>Gestión de Taller de Mantención</v>
      </c>
      <c r="C303" s="21" t="str">
        <f>IFERROR(_xlfn.XLOOKUP(D303,'Historias de Usuario'!C:C,'Historias de Usuario'!D:D, "Selecciona una historia"), "")</f>
        <v>Como usuario del taller quiero ver la ficha de una orden de mantención para gestionar las tareas y repuestos</v>
      </c>
      <c r="D303" s="22" t="s">
        <v>617</v>
      </c>
      <c r="E303" s="21" t="s">
        <v>654</v>
      </c>
      <c r="F303" s="21" t="s">
        <v>624</v>
      </c>
      <c r="G303" s="10" t="s">
        <v>1192</v>
      </c>
      <c r="H303" s="22" t="s">
        <v>17</v>
      </c>
    </row>
    <row r="304" spans="2:8" ht="30" x14ac:dyDescent="0.3">
      <c r="B304" s="20" t="str">
        <f>IFERROR(_xlfn.XLOOKUP(D304,'Historias de Usuario'!C:C,'Historias de Usuario'!B:B, "Selecciona una historia"), "")</f>
        <v>Gestión de Taller de Mantención</v>
      </c>
      <c r="C304" s="21" t="str">
        <f>IFERROR(_xlfn.XLOOKUP(D304,'Historias de Usuario'!C:C,'Historias de Usuario'!D:D, "Selecciona una historia"), "")</f>
        <v>Como usuario del taller quiero ver la ficha de una orden de mantención para gestionar las tareas y repuestos</v>
      </c>
      <c r="D304" s="22" t="s">
        <v>617</v>
      </c>
      <c r="E304" s="21" t="s">
        <v>655</v>
      </c>
      <c r="F304" s="21" t="s">
        <v>625</v>
      </c>
      <c r="G304" s="10" t="s">
        <v>1192</v>
      </c>
      <c r="H304" s="22" t="s">
        <v>17</v>
      </c>
    </row>
    <row r="305" spans="2:8" ht="30" x14ac:dyDescent="0.3">
      <c r="B305" s="20" t="str">
        <f>IFERROR(_xlfn.XLOOKUP(D305,'Historias de Usuario'!C:C,'Historias de Usuario'!B:B, "Selecciona una historia"), "")</f>
        <v>Gestión de Taller de Mantención</v>
      </c>
      <c r="C305" s="21" t="str">
        <f>IFERROR(_xlfn.XLOOKUP(D305,'Historias de Usuario'!C:C,'Historias de Usuario'!D:D, "Selecciona una historia"), "")</f>
        <v>Como usuario del taller quiero ver la ficha de una orden de mantención para gestionar las tareas y repuestos</v>
      </c>
      <c r="D305" s="22" t="s">
        <v>617</v>
      </c>
      <c r="E305" s="21" t="s">
        <v>656</v>
      </c>
      <c r="F305" s="21" t="s">
        <v>626</v>
      </c>
      <c r="G305" s="10" t="s">
        <v>1192</v>
      </c>
      <c r="H305" s="22" t="s">
        <v>17</v>
      </c>
    </row>
    <row r="306" spans="2:8" ht="30" x14ac:dyDescent="0.3">
      <c r="B306" s="20" t="str">
        <f>IFERROR(_xlfn.XLOOKUP(D306,'Historias de Usuario'!C:C,'Historias de Usuario'!B:B, "Selecciona una historia"), "")</f>
        <v>Gestión de Taller de Mantención</v>
      </c>
      <c r="C306" s="21" t="str">
        <f>IFERROR(_xlfn.XLOOKUP(D306,'Historias de Usuario'!C:C,'Historias de Usuario'!D:D, "Selecciona una historia"), "")</f>
        <v>Como usuario del taller quiero ver la ficha de una orden de mantención para gestionar las tareas y repuestos</v>
      </c>
      <c r="D306" s="22" t="s">
        <v>617</v>
      </c>
      <c r="E306" s="21" t="s">
        <v>657</v>
      </c>
      <c r="F306" s="21" t="s">
        <v>627</v>
      </c>
      <c r="G306" s="10" t="s">
        <v>1192</v>
      </c>
      <c r="H306" s="22" t="s">
        <v>17</v>
      </c>
    </row>
    <row r="307" spans="2:8" ht="30" x14ac:dyDescent="0.3">
      <c r="B307" s="20" t="str">
        <f>IFERROR(_xlfn.XLOOKUP(D307,'Historias de Usuario'!C:C,'Historias de Usuario'!B:B, "Selecciona una historia"), "")</f>
        <v>Gestión de Taller de Mantención</v>
      </c>
      <c r="C307" s="21" t="str">
        <f>IFERROR(_xlfn.XLOOKUP(D307,'Historias de Usuario'!C:C,'Historias de Usuario'!D:D, "Selecciona una historia"), "")</f>
        <v>Como usuario del taller quiero ver la ficha de una orden de mantención para gestionar las tareas y repuestos</v>
      </c>
      <c r="D307" s="22" t="s">
        <v>617</v>
      </c>
      <c r="E307" s="21" t="s">
        <v>658</v>
      </c>
      <c r="F307" s="21" t="s">
        <v>628</v>
      </c>
      <c r="G307" s="10" t="s">
        <v>1192</v>
      </c>
      <c r="H307" s="22" t="s">
        <v>17</v>
      </c>
    </row>
    <row r="308" spans="2:8" ht="30" x14ac:dyDescent="0.3">
      <c r="B308" s="20" t="str">
        <f>IFERROR(_xlfn.XLOOKUP(D308,'Historias de Usuario'!C:C,'Historias de Usuario'!B:B, "Selecciona una historia"), "")</f>
        <v>Gestión de Taller de Mantención</v>
      </c>
      <c r="C308" s="21" t="str">
        <f>IFERROR(_xlfn.XLOOKUP(D308,'Historias de Usuario'!C:C,'Historias de Usuario'!D:D, "Selecciona una historia"), "")</f>
        <v>Como usuario del taller quiero ver la ficha de una orden de mantención para gestionar las tareas y repuestos</v>
      </c>
      <c r="D308" s="22" t="s">
        <v>617</v>
      </c>
      <c r="E308" s="21" t="s">
        <v>662</v>
      </c>
      <c r="F308" s="21" t="s">
        <v>629</v>
      </c>
      <c r="G308" s="10" t="s">
        <v>1192</v>
      </c>
      <c r="H308" s="22" t="s">
        <v>17</v>
      </c>
    </row>
    <row r="309" spans="2:8" ht="30" x14ac:dyDescent="0.3">
      <c r="B309" s="20" t="str">
        <f>IFERROR(_xlfn.XLOOKUP(D309,'Historias de Usuario'!C:C,'Historias de Usuario'!B:B, "Selecciona una historia"), "")</f>
        <v>Gestión de Taller de Mantención</v>
      </c>
      <c r="C309" s="21" t="str">
        <f>IFERROR(_xlfn.XLOOKUP(D309,'Historias de Usuario'!C:C,'Historias de Usuario'!D:D, "Selecciona una historia"), "")</f>
        <v>Como usuario del taller quiero ver la ficha de una orden de mantención para gestionar las tareas y repuestos</v>
      </c>
      <c r="D309" s="22" t="s">
        <v>617</v>
      </c>
      <c r="E309" s="21" t="s">
        <v>669</v>
      </c>
      <c r="F309" s="21" t="s">
        <v>630</v>
      </c>
      <c r="G309" s="10" t="s">
        <v>1192</v>
      </c>
      <c r="H309" s="22" t="s">
        <v>17</v>
      </c>
    </row>
    <row r="310" spans="2:8" ht="30" x14ac:dyDescent="0.3">
      <c r="B310" s="20" t="str">
        <f>IFERROR(_xlfn.XLOOKUP(D310,'Historias de Usuario'!C:C,'Historias de Usuario'!B:B, "Selecciona una historia"), "")</f>
        <v>Gestión de Taller de Mantención</v>
      </c>
      <c r="C310" s="21" t="str">
        <f>IFERROR(_xlfn.XLOOKUP(D310,'Historias de Usuario'!C:C,'Historias de Usuario'!D:D, "Selecciona una historia"), "")</f>
        <v>Como usuario del taller quiero ver la ficha de una orden de mantención para gestionar las tareas y repuestos</v>
      </c>
      <c r="D310" s="22" t="s">
        <v>617</v>
      </c>
      <c r="E310" s="21" t="s">
        <v>670</v>
      </c>
      <c r="F310" s="21" t="s">
        <v>631</v>
      </c>
      <c r="G310" s="10" t="s">
        <v>1192</v>
      </c>
      <c r="H310" s="22" t="s">
        <v>17</v>
      </c>
    </row>
    <row r="311" spans="2:8" ht="30" x14ac:dyDescent="0.3">
      <c r="B311" s="20" t="str">
        <f>IFERROR(_xlfn.XLOOKUP(D311,'Historias de Usuario'!C:C,'Historias de Usuario'!B:B, "Selecciona una historia"), "")</f>
        <v>Gestión de Taller de Mantención</v>
      </c>
      <c r="C311" s="21" t="str">
        <f>IFERROR(_xlfn.XLOOKUP(D311,'Historias de Usuario'!C:C,'Historias de Usuario'!D:D, "Selecciona una historia"), "")</f>
        <v>Como usuario del taller quiero ver la ficha de una orden de mantención para gestionar las tareas y repuestos</v>
      </c>
      <c r="D311" s="22" t="s">
        <v>617</v>
      </c>
      <c r="E311" s="21" t="s">
        <v>671</v>
      </c>
      <c r="F311" s="21" t="s">
        <v>632</v>
      </c>
      <c r="G311" s="10" t="s">
        <v>1192</v>
      </c>
      <c r="H311" s="22" t="s">
        <v>1217</v>
      </c>
    </row>
    <row r="312" spans="2:8" ht="30" x14ac:dyDescent="0.3">
      <c r="B312" s="20" t="str">
        <f>IFERROR(_xlfn.XLOOKUP(D312,'Historias de Usuario'!C:C,'Historias de Usuario'!B:B, "Selecciona una historia"), "")</f>
        <v>Gestión de Taller de Mantención</v>
      </c>
      <c r="C312" s="21" t="str">
        <f>IFERROR(_xlfn.XLOOKUP(D312,'Historias de Usuario'!C:C,'Historias de Usuario'!D:D, "Selecciona una historia"), "")</f>
        <v>Como usuario del taller quiero ver la ficha de una orden de mantención para gestionar las tareas y repuestos</v>
      </c>
      <c r="D312" s="22" t="s">
        <v>617</v>
      </c>
      <c r="E312" s="21" t="s">
        <v>672</v>
      </c>
      <c r="F312" s="21" t="s">
        <v>633</v>
      </c>
      <c r="G312" s="10" t="s">
        <v>1192</v>
      </c>
      <c r="H312" s="22" t="s">
        <v>1217</v>
      </c>
    </row>
    <row r="313" spans="2:8" ht="30" x14ac:dyDescent="0.3">
      <c r="B313" s="20" t="str">
        <f>IFERROR(_xlfn.XLOOKUP(D313,'Historias de Usuario'!C:C,'Historias de Usuario'!B:B, "Selecciona una historia"), "")</f>
        <v>Gestión de Taller de Mantención</v>
      </c>
      <c r="C313" s="21" t="str">
        <f>IFERROR(_xlfn.XLOOKUP(D313,'Historias de Usuario'!C:C,'Historias de Usuario'!D:D, "Selecciona una historia"), "")</f>
        <v>Como usuario del taller quiero ver la ficha de una orden de mantención para gestionar las tareas y repuestos</v>
      </c>
      <c r="D313" s="22" t="s">
        <v>617</v>
      </c>
      <c r="E313" s="21" t="s">
        <v>673</v>
      </c>
      <c r="F313" s="21" t="s">
        <v>634</v>
      </c>
      <c r="G313" s="10" t="s">
        <v>1192</v>
      </c>
      <c r="H313" s="22" t="s">
        <v>1217</v>
      </c>
    </row>
    <row r="314" spans="2:8" ht="30" x14ac:dyDescent="0.3">
      <c r="B314" s="20" t="str">
        <f>IFERROR(_xlfn.XLOOKUP(D314,'Historias de Usuario'!C:C,'Historias de Usuario'!B:B, "Selecciona una historia"), "")</f>
        <v>Gestión de Taller de Mantención</v>
      </c>
      <c r="C314" s="21" t="str">
        <f>IFERROR(_xlfn.XLOOKUP(D314,'Historias de Usuario'!C:C,'Historias de Usuario'!D:D, "Selecciona una historia"), "")</f>
        <v>Como usuario del taller quiero ver la ficha de una orden de mantención para gestionar las tareas y repuestos</v>
      </c>
      <c r="D314" s="22" t="s">
        <v>617</v>
      </c>
      <c r="E314" s="21" t="s">
        <v>674</v>
      </c>
      <c r="F314" s="21" t="s">
        <v>635</v>
      </c>
      <c r="G314" s="10" t="s">
        <v>1192</v>
      </c>
      <c r="H314" s="22" t="s">
        <v>17</v>
      </c>
    </row>
    <row r="315" spans="2:8" ht="30" x14ac:dyDescent="0.3">
      <c r="B315" s="20" t="str">
        <f>IFERROR(_xlfn.XLOOKUP(D315,'Historias de Usuario'!C:C,'Historias de Usuario'!B:B, "Selecciona una historia"), "")</f>
        <v>Gestión de Taller de Mantención</v>
      </c>
      <c r="C315" s="21" t="str">
        <f>IFERROR(_xlfn.XLOOKUP(D315,'Historias de Usuario'!C:C,'Historias de Usuario'!D:D, "Selecciona una historia"), "")</f>
        <v>Como usuario del taller quiero ver la ficha de una orden de mantención para gestionar las tareas y repuestos</v>
      </c>
      <c r="D315" s="22" t="s">
        <v>617</v>
      </c>
      <c r="E315" s="21" t="s">
        <v>675</v>
      </c>
      <c r="F315" s="21" t="s">
        <v>636</v>
      </c>
      <c r="G315" s="10" t="s">
        <v>1192</v>
      </c>
      <c r="H315" s="22" t="s">
        <v>17</v>
      </c>
    </row>
    <row r="316" spans="2:8" ht="30" x14ac:dyDescent="0.3">
      <c r="B316" s="20" t="str">
        <f>IFERROR(_xlfn.XLOOKUP(D316,'Historias de Usuario'!C:C,'Historias de Usuario'!B:B, "Selecciona una historia"), "")</f>
        <v>Gestión de Taller de Mantención</v>
      </c>
      <c r="C316" s="21" t="str">
        <f>IFERROR(_xlfn.XLOOKUP(D316,'Historias de Usuario'!C:C,'Historias de Usuario'!D:D, "Selecciona una historia"), "")</f>
        <v>Como usuario del taller quiero ver la ficha de una orden de mantención para gestionar las tareas y repuestos</v>
      </c>
      <c r="D316" s="22" t="s">
        <v>617</v>
      </c>
      <c r="E316" s="21" t="s">
        <v>676</v>
      </c>
      <c r="F316" s="21" t="s">
        <v>637</v>
      </c>
      <c r="G316" s="10" t="s">
        <v>1192</v>
      </c>
      <c r="H316" s="22" t="s">
        <v>17</v>
      </c>
    </row>
    <row r="317" spans="2:8" ht="30" x14ac:dyDescent="0.3">
      <c r="B317" s="20" t="str">
        <f>IFERROR(_xlfn.XLOOKUP(D317,'Historias de Usuario'!C:C,'Historias de Usuario'!B:B, "Selecciona una historia"), "")</f>
        <v>Gestión de Taller de Mantención</v>
      </c>
      <c r="C317" s="21" t="str">
        <f>IFERROR(_xlfn.XLOOKUP(D317,'Historias de Usuario'!C:C,'Historias de Usuario'!D:D, "Selecciona una historia"), "")</f>
        <v>Como usuario del taller quiero ver la ficha de una orden de mantención para gestionar las tareas y repuestos</v>
      </c>
      <c r="D317" s="22" t="s">
        <v>617</v>
      </c>
      <c r="E317" s="21" t="s">
        <v>677</v>
      </c>
      <c r="F317" s="21" t="s">
        <v>638</v>
      </c>
      <c r="G317" s="10" t="s">
        <v>1192</v>
      </c>
      <c r="H317" s="22" t="s">
        <v>17</v>
      </c>
    </row>
    <row r="318" spans="2:8" ht="30" x14ac:dyDescent="0.3">
      <c r="B318" s="20" t="str">
        <f>IFERROR(_xlfn.XLOOKUP(D318,'Historias de Usuario'!C:C,'Historias de Usuario'!B:B, "Selecciona una historia"), "")</f>
        <v>Gestión de Taller de Mantención</v>
      </c>
      <c r="C318" s="21" t="str">
        <f>IFERROR(_xlfn.XLOOKUP(D318,'Historias de Usuario'!C:C,'Historias de Usuario'!D:D, "Selecciona una historia"), "")</f>
        <v>Como usuario del taller quiero actualizar información general de una orden parar mantener la orden al día</v>
      </c>
      <c r="D318" s="22" t="s">
        <v>660</v>
      </c>
      <c r="E318" s="21" t="s">
        <v>688</v>
      </c>
      <c r="F318" s="21" t="s">
        <v>661</v>
      </c>
      <c r="G318" s="10" t="s">
        <v>1193</v>
      </c>
      <c r="H318" s="22" t="s">
        <v>17</v>
      </c>
    </row>
    <row r="319" spans="2:8" ht="30" x14ac:dyDescent="0.3">
      <c r="B319" s="20" t="str">
        <f>IFERROR(_xlfn.XLOOKUP(D319,'Historias de Usuario'!C:C,'Historias de Usuario'!B:B, "Selecciona una historia"), "")</f>
        <v>Gestión de Taller de Mantención</v>
      </c>
      <c r="C319" s="21" t="str">
        <f>IFERROR(_xlfn.XLOOKUP(D319,'Historias de Usuario'!C:C,'Historias de Usuario'!D:D, "Selecciona una historia"), "")</f>
        <v>Como usuario del taller quiero actualizar información general de una orden parar mantener la orden al día</v>
      </c>
      <c r="D319" s="22" t="s">
        <v>660</v>
      </c>
      <c r="E319" s="21" t="s">
        <v>689</v>
      </c>
      <c r="F319" s="21" t="s">
        <v>663</v>
      </c>
      <c r="G319" s="10" t="s">
        <v>1193</v>
      </c>
      <c r="H319" s="22" t="s">
        <v>17</v>
      </c>
    </row>
    <row r="320" spans="2:8" ht="30" x14ac:dyDescent="0.3">
      <c r="B320" s="20" t="str">
        <f>IFERROR(_xlfn.XLOOKUP(D320,'Historias de Usuario'!C:C,'Historias de Usuario'!B:B, "Selecciona una historia"), "")</f>
        <v>Gestión de Taller de Mantención</v>
      </c>
      <c r="C320" s="21" t="str">
        <f>IFERROR(_xlfn.XLOOKUP(D320,'Historias de Usuario'!C:C,'Historias de Usuario'!D:D, "Selecciona una historia"), "")</f>
        <v>Como usuario del taller quiero actualizar información general de una orden parar mantener la orden al día</v>
      </c>
      <c r="D320" s="22" t="s">
        <v>660</v>
      </c>
      <c r="E320" s="21" t="s">
        <v>690</v>
      </c>
      <c r="F320" s="21" t="s">
        <v>664</v>
      </c>
      <c r="G320" s="10" t="s">
        <v>1193</v>
      </c>
      <c r="H320" s="22" t="s">
        <v>17</v>
      </c>
    </row>
    <row r="321" spans="2:8" ht="30" x14ac:dyDescent="0.3">
      <c r="B321" s="20" t="str">
        <f>IFERROR(_xlfn.XLOOKUP(D321,'Historias de Usuario'!C:C,'Historias de Usuario'!B:B, "Selecciona una historia"), "")</f>
        <v>Gestión de Taller de Mantención</v>
      </c>
      <c r="C321" s="21" t="str">
        <f>IFERROR(_xlfn.XLOOKUP(D321,'Historias de Usuario'!C:C,'Historias de Usuario'!D:D, "Selecciona una historia"), "")</f>
        <v>Como usuario del taller quiero actualizar información general de una orden parar mantener la orden al día</v>
      </c>
      <c r="D321" s="22" t="s">
        <v>660</v>
      </c>
      <c r="E321" s="21" t="s">
        <v>691</v>
      </c>
      <c r="F321" s="21" t="s">
        <v>566</v>
      </c>
      <c r="G321" s="10" t="s">
        <v>1193</v>
      </c>
      <c r="H321" s="22" t="s">
        <v>17</v>
      </c>
    </row>
    <row r="322" spans="2:8" ht="30" x14ac:dyDescent="0.3">
      <c r="B322" s="20" t="str">
        <f>IFERROR(_xlfn.XLOOKUP(D322,'Historias de Usuario'!C:C,'Historias de Usuario'!B:B, "Selecciona una historia"), "")</f>
        <v>Gestión de Taller de Mantención</v>
      </c>
      <c r="C322" s="21" t="str">
        <f>IFERROR(_xlfn.XLOOKUP(D322,'Historias de Usuario'!C:C,'Historias de Usuario'!D:D, "Selecciona una historia"), "")</f>
        <v>Como usuario del taller quiero actualizar información general de una orden parar mantener la orden al día</v>
      </c>
      <c r="D322" s="22" t="s">
        <v>660</v>
      </c>
      <c r="E322" s="21" t="s">
        <v>692</v>
      </c>
      <c r="F322" s="21" t="s">
        <v>665</v>
      </c>
      <c r="G322" s="10" t="s">
        <v>1193</v>
      </c>
      <c r="H322" s="22" t="s">
        <v>17</v>
      </c>
    </row>
    <row r="323" spans="2:8" ht="30" x14ac:dyDescent="0.3">
      <c r="B323" s="20" t="str">
        <f>IFERROR(_xlfn.XLOOKUP(D323,'Historias de Usuario'!C:C,'Historias de Usuario'!B:B, "Selecciona una historia"), "")</f>
        <v>Gestión de Taller de Mantención</v>
      </c>
      <c r="C323" s="21" t="str">
        <f>IFERROR(_xlfn.XLOOKUP(D323,'Historias de Usuario'!C:C,'Historias de Usuario'!D:D, "Selecciona una historia"), "")</f>
        <v>Como usuario del taller quiero actualizar información general de una orden parar mantener la orden al día</v>
      </c>
      <c r="D323" s="22" t="s">
        <v>660</v>
      </c>
      <c r="E323" s="21" t="s">
        <v>693</v>
      </c>
      <c r="F323" s="21" t="s">
        <v>666</v>
      </c>
      <c r="G323" s="10" t="s">
        <v>1193</v>
      </c>
      <c r="H323" s="22" t="s">
        <v>17</v>
      </c>
    </row>
    <row r="324" spans="2:8" ht="30" x14ac:dyDescent="0.3">
      <c r="B324" s="20" t="str">
        <f>IFERROR(_xlfn.XLOOKUP(D324,'Historias de Usuario'!C:C,'Historias de Usuario'!B:B, "Selecciona una historia"), "")</f>
        <v>Gestión de Taller de Mantención</v>
      </c>
      <c r="C324" s="21" t="str">
        <f>IFERROR(_xlfn.XLOOKUP(D324,'Historias de Usuario'!C:C,'Historias de Usuario'!D:D, "Selecciona una historia"), "")</f>
        <v>Como usuario del taller quiero actualizar información general de una orden parar mantener la orden al día</v>
      </c>
      <c r="D324" s="22" t="s">
        <v>660</v>
      </c>
      <c r="E324" s="21" t="s">
        <v>694</v>
      </c>
      <c r="F324" s="21" t="s">
        <v>259</v>
      </c>
      <c r="G324" s="10" t="s">
        <v>1193</v>
      </c>
      <c r="H324" s="22" t="s">
        <v>17</v>
      </c>
    </row>
    <row r="325" spans="2:8" ht="30" x14ac:dyDescent="0.3">
      <c r="B325" s="20" t="str">
        <f>IFERROR(_xlfn.XLOOKUP(D325,'Historias de Usuario'!C:C,'Historias de Usuario'!B:B, "Selecciona una historia"), "")</f>
        <v>Gestión de Taller de Mantención</v>
      </c>
      <c r="C325" s="21" t="str">
        <f>IFERROR(_xlfn.XLOOKUP(D325,'Historias de Usuario'!C:C,'Historias de Usuario'!D:D, "Selecciona una historia"), "")</f>
        <v>Como usuario del taller quiero actualizar información general de una orden parar mantener la orden al día</v>
      </c>
      <c r="D325" s="22" t="s">
        <v>660</v>
      </c>
      <c r="E325" s="21" t="s">
        <v>695</v>
      </c>
      <c r="F325" s="21" t="s">
        <v>667</v>
      </c>
      <c r="G325" s="10" t="s">
        <v>1193</v>
      </c>
      <c r="H325" s="22" t="s">
        <v>17</v>
      </c>
    </row>
    <row r="326" spans="2:8" ht="30" x14ac:dyDescent="0.3">
      <c r="B326" s="20" t="str">
        <f>IFERROR(_xlfn.XLOOKUP(D326,'Historias de Usuario'!C:C,'Historias de Usuario'!B:B, "Selecciona una historia"), "")</f>
        <v>Gestión de Taller de Mantención</v>
      </c>
      <c r="C326" s="21" t="str">
        <f>IFERROR(_xlfn.XLOOKUP(D326,'Historias de Usuario'!C:C,'Historias de Usuario'!D:D, "Selecciona una historia"), "")</f>
        <v>Como usuario del taller quiero actualizar información general de una orden parar mantener la orden al día</v>
      </c>
      <c r="D326" s="22" t="s">
        <v>660</v>
      </c>
      <c r="E326" s="21" t="s">
        <v>696</v>
      </c>
      <c r="F326" s="21" t="s">
        <v>171</v>
      </c>
      <c r="G326" s="10" t="s">
        <v>1193</v>
      </c>
      <c r="H326" s="22" t="s">
        <v>17</v>
      </c>
    </row>
    <row r="327" spans="2:8" ht="30" x14ac:dyDescent="0.3">
      <c r="B327" s="20" t="str">
        <f>IFERROR(_xlfn.XLOOKUP(D327,'Historias de Usuario'!C:C,'Historias de Usuario'!B:B, "Selecciona una historia"), "")</f>
        <v>Gestión de Taller de Mantención</v>
      </c>
      <c r="C327" s="21" t="str">
        <f>IFERROR(_xlfn.XLOOKUP(D327,'Historias de Usuario'!C:C,'Historias de Usuario'!D:D, "Selecciona una historia"), "")</f>
        <v>Como usuario del taller quiero actualizar información general de una orden parar mantener la orden al día</v>
      </c>
      <c r="D327" s="22" t="s">
        <v>660</v>
      </c>
      <c r="E327" s="21" t="s">
        <v>702</v>
      </c>
      <c r="F327" s="21" t="s">
        <v>668</v>
      </c>
      <c r="G327" s="10" t="s">
        <v>1193</v>
      </c>
      <c r="H327" s="22" t="s">
        <v>17</v>
      </c>
    </row>
    <row r="328" spans="2:8" ht="30" x14ac:dyDescent="0.3">
      <c r="B328" s="20" t="str">
        <f>IFERROR(_xlfn.XLOOKUP(D328,'Historias de Usuario'!C:C,'Historias de Usuario'!B:B, "Selecciona una historia"), "")</f>
        <v>Gestión de Taller de Mantención</v>
      </c>
      <c r="C328" s="21" t="str">
        <f>IFERROR(_xlfn.XLOOKUP(D328,'Historias de Usuario'!C:C,'Historias de Usuario'!D:D, "Selecciona una historia"), "")</f>
        <v>Como usuario del taller quiero agregar tareas de mantención a una orden para registrar el trabajo realizado</v>
      </c>
      <c r="D328" s="22" t="s">
        <v>679</v>
      </c>
      <c r="E328" s="21" t="s">
        <v>703</v>
      </c>
      <c r="F328" s="21" t="s">
        <v>680</v>
      </c>
      <c r="G328" s="10" t="s">
        <v>1193</v>
      </c>
      <c r="H328" s="22" t="s">
        <v>17</v>
      </c>
    </row>
    <row r="329" spans="2:8" ht="30" x14ac:dyDescent="0.3">
      <c r="B329" s="20" t="str">
        <f>IFERROR(_xlfn.XLOOKUP(D329,'Historias de Usuario'!C:C,'Historias de Usuario'!B:B, "Selecciona una historia"), "")</f>
        <v>Gestión de Taller de Mantención</v>
      </c>
      <c r="C329" s="21" t="str">
        <f>IFERROR(_xlfn.XLOOKUP(D329,'Historias de Usuario'!C:C,'Historias de Usuario'!D:D, "Selecciona una historia"), "")</f>
        <v>Como usuario del taller quiero agregar tareas de mantención a una orden para registrar el trabajo realizado</v>
      </c>
      <c r="D329" s="22" t="s">
        <v>679</v>
      </c>
      <c r="E329" s="21" t="s">
        <v>704</v>
      </c>
      <c r="F329" s="21" t="s">
        <v>681</v>
      </c>
      <c r="G329" s="10" t="s">
        <v>1193</v>
      </c>
      <c r="H329" s="22" t="s">
        <v>17</v>
      </c>
    </row>
    <row r="330" spans="2:8" ht="30" x14ac:dyDescent="0.3">
      <c r="B330" s="20" t="str">
        <f>IFERROR(_xlfn.XLOOKUP(D330,'Historias de Usuario'!C:C,'Historias de Usuario'!B:B, "Selecciona una historia"), "")</f>
        <v>Gestión de Taller de Mantención</v>
      </c>
      <c r="C330" s="21" t="str">
        <f>IFERROR(_xlfn.XLOOKUP(D330,'Historias de Usuario'!C:C,'Historias de Usuario'!D:D, "Selecciona una historia"), "")</f>
        <v>Como usuario del taller quiero agregar tareas de mantención a una orden para registrar el trabajo realizado</v>
      </c>
      <c r="D330" s="22" t="s">
        <v>679</v>
      </c>
      <c r="E330" s="21" t="s">
        <v>705</v>
      </c>
      <c r="F330" s="21" t="s">
        <v>682</v>
      </c>
      <c r="G330" s="10" t="s">
        <v>1193</v>
      </c>
      <c r="H330" s="22" t="s">
        <v>17</v>
      </c>
    </row>
    <row r="331" spans="2:8" ht="30" x14ac:dyDescent="0.3">
      <c r="B331" s="20" t="str">
        <f>IFERROR(_xlfn.XLOOKUP(D331,'Historias de Usuario'!C:C,'Historias de Usuario'!B:B, "Selecciona una historia"), "")</f>
        <v>Gestión de Taller de Mantención</v>
      </c>
      <c r="C331" s="21" t="str">
        <f>IFERROR(_xlfn.XLOOKUP(D331,'Historias de Usuario'!C:C,'Historias de Usuario'!D:D, "Selecciona una historia"), "")</f>
        <v>Como usuario del taller quiero agregar tareas de mantención a una orden para registrar el trabajo realizado</v>
      </c>
      <c r="D331" s="22" t="s">
        <v>679</v>
      </c>
      <c r="E331" s="21" t="s">
        <v>716</v>
      </c>
      <c r="F331" s="21" t="s">
        <v>683</v>
      </c>
      <c r="G331" s="10" t="s">
        <v>1193</v>
      </c>
      <c r="H331" s="22" t="s">
        <v>17</v>
      </c>
    </row>
    <row r="332" spans="2:8" ht="30" x14ac:dyDescent="0.3">
      <c r="B332" s="20" t="str">
        <f>IFERROR(_xlfn.XLOOKUP(D332,'Historias de Usuario'!C:C,'Historias de Usuario'!B:B, "Selecciona una historia"), "")</f>
        <v>Gestión de Taller de Mantención</v>
      </c>
      <c r="C332" s="21" t="str">
        <f>IFERROR(_xlfn.XLOOKUP(D332,'Historias de Usuario'!C:C,'Historias de Usuario'!D:D, "Selecciona una historia"), "")</f>
        <v>Como usuario del taller quiero agregar tareas de mantención a una orden para registrar el trabajo realizado</v>
      </c>
      <c r="D332" s="22" t="s">
        <v>679</v>
      </c>
      <c r="E332" s="21" t="s">
        <v>717</v>
      </c>
      <c r="F332" s="21" t="s">
        <v>684</v>
      </c>
      <c r="G332" s="10" t="s">
        <v>1193</v>
      </c>
      <c r="H332" s="22" t="s">
        <v>17</v>
      </c>
    </row>
    <row r="333" spans="2:8" ht="30" x14ac:dyDescent="0.3">
      <c r="B333" s="20" t="str">
        <f>IFERROR(_xlfn.XLOOKUP(D333,'Historias de Usuario'!C:C,'Historias de Usuario'!B:B, "Selecciona una historia"), "")</f>
        <v>Gestión de Taller de Mantención</v>
      </c>
      <c r="C333" s="21" t="str">
        <f>IFERROR(_xlfn.XLOOKUP(D333,'Historias de Usuario'!C:C,'Historias de Usuario'!D:D, "Selecciona una historia"), "")</f>
        <v>Como usuario del taller quiero agregar tareas de mantención a una orden para registrar el trabajo realizado</v>
      </c>
      <c r="D333" s="22" t="s">
        <v>679</v>
      </c>
      <c r="E333" s="21" t="s">
        <v>718</v>
      </c>
      <c r="F333" s="21" t="s">
        <v>374</v>
      </c>
      <c r="G333" s="10" t="s">
        <v>1193</v>
      </c>
      <c r="H333" s="22" t="s">
        <v>17</v>
      </c>
    </row>
    <row r="334" spans="2:8" ht="30" x14ac:dyDescent="0.3">
      <c r="B334" s="20" t="str">
        <f>IFERROR(_xlfn.XLOOKUP(D334,'Historias de Usuario'!C:C,'Historias de Usuario'!B:B, "Selecciona una historia"), "")</f>
        <v>Gestión de Taller de Mantención</v>
      </c>
      <c r="C334" s="21" t="str">
        <f>IFERROR(_xlfn.XLOOKUP(D334,'Historias de Usuario'!C:C,'Historias de Usuario'!D:D, "Selecciona una historia"), "")</f>
        <v>Como usuario del taller quiero agregar tareas de mantención a una orden para registrar el trabajo realizado</v>
      </c>
      <c r="D334" s="22" t="s">
        <v>679</v>
      </c>
      <c r="E334" s="21" t="s">
        <v>719</v>
      </c>
      <c r="F334" s="10" t="s">
        <v>685</v>
      </c>
      <c r="G334" s="10" t="s">
        <v>1193</v>
      </c>
      <c r="H334" s="22" t="s">
        <v>17</v>
      </c>
    </row>
    <row r="335" spans="2:8" ht="30" x14ac:dyDescent="0.3">
      <c r="B335" s="20" t="str">
        <f>IFERROR(_xlfn.XLOOKUP(D335,'Historias de Usuario'!C:C,'Historias de Usuario'!B:B, "Selecciona una historia"), "")</f>
        <v>Gestión de Taller de Mantención</v>
      </c>
      <c r="C335" s="21" t="str">
        <f>IFERROR(_xlfn.XLOOKUP(D335,'Historias de Usuario'!C:C,'Historias de Usuario'!D:D, "Selecciona una historia"), "")</f>
        <v>Como usuario del taller quiero agregar tareas de mantención a una orden para registrar el trabajo realizado</v>
      </c>
      <c r="D335" s="22" t="s">
        <v>679</v>
      </c>
      <c r="E335" s="21" t="s">
        <v>720</v>
      </c>
      <c r="F335" s="2" t="s">
        <v>686</v>
      </c>
      <c r="G335" s="10" t="s">
        <v>1193</v>
      </c>
      <c r="H335" s="22" t="s">
        <v>17</v>
      </c>
    </row>
    <row r="336" spans="2:8" ht="30" x14ac:dyDescent="0.3">
      <c r="B336" s="20" t="str">
        <f>IFERROR(_xlfn.XLOOKUP(D336,'Historias de Usuario'!C:C,'Historias de Usuario'!B:B, "Selecciona una historia"), "")</f>
        <v>Gestión de Taller de Mantención</v>
      </c>
      <c r="C336" s="21" t="str">
        <f>IFERROR(_xlfn.XLOOKUP(D336,'Historias de Usuario'!C:C,'Historias de Usuario'!D:D, "Selecciona una historia"), "")</f>
        <v>Como usuario del taller quiero agregar tareas de mantención a una orden para registrar el trabajo realizado</v>
      </c>
      <c r="D336" s="22" t="s">
        <v>679</v>
      </c>
      <c r="E336" s="21" t="s">
        <v>721</v>
      </c>
      <c r="F336" s="21" t="s">
        <v>687</v>
      </c>
      <c r="G336" s="10" t="s">
        <v>1193</v>
      </c>
      <c r="H336" s="22" t="s">
        <v>17</v>
      </c>
    </row>
    <row r="337" spans="2:8" ht="30" x14ac:dyDescent="0.3">
      <c r="B337" s="20" t="str">
        <f>IFERROR(_xlfn.XLOOKUP(D337,'Historias de Usuario'!C:C,'Historias de Usuario'!B:B, "Selecciona una historia"), "")</f>
        <v>Gestión de Taller de Mantención</v>
      </c>
      <c r="C337" s="21" t="str">
        <f>IFERROR(_xlfn.XLOOKUP(D337,'Historias de Usuario'!C:C,'Historias de Usuario'!D:D, "Selecciona una historia"), "")</f>
        <v>Como usuario del taller quiero eliminar tareas de una orden para corregir errores</v>
      </c>
      <c r="D337" s="22" t="s">
        <v>698</v>
      </c>
      <c r="E337" s="21" t="s">
        <v>722</v>
      </c>
      <c r="F337" s="21" t="s">
        <v>699</v>
      </c>
      <c r="G337" s="10" t="s">
        <v>1193</v>
      </c>
      <c r="H337" s="22" t="s">
        <v>17</v>
      </c>
    </row>
    <row r="338" spans="2:8" ht="30" x14ac:dyDescent="0.3">
      <c r="B338" s="20" t="str">
        <f>IFERROR(_xlfn.XLOOKUP(D338,'Historias de Usuario'!C:C,'Historias de Usuario'!B:B, "Selecciona una historia"), "")</f>
        <v>Gestión de Taller de Mantención</v>
      </c>
      <c r="C338" s="21" t="str">
        <f>IFERROR(_xlfn.XLOOKUP(D338,'Historias de Usuario'!C:C,'Historias de Usuario'!D:D, "Selecciona una historia"), "")</f>
        <v>Como usuario del taller quiero eliminar tareas de una orden para corregir errores</v>
      </c>
      <c r="D338" s="22" t="s">
        <v>698</v>
      </c>
      <c r="E338" s="21" t="s">
        <v>723</v>
      </c>
      <c r="F338" s="21" t="s">
        <v>700</v>
      </c>
      <c r="G338" s="10" t="s">
        <v>1193</v>
      </c>
      <c r="H338" s="22" t="s">
        <v>17</v>
      </c>
    </row>
    <row r="339" spans="2:8" ht="30" x14ac:dyDescent="0.3">
      <c r="B339" s="20" t="str">
        <f>IFERROR(_xlfn.XLOOKUP(D339,'Historias de Usuario'!C:C,'Historias de Usuario'!B:B, "Selecciona una historia"), "")</f>
        <v>Gestión de Taller de Mantención</v>
      </c>
      <c r="C339" s="21" t="str">
        <f>IFERROR(_xlfn.XLOOKUP(D339,'Historias de Usuario'!C:C,'Historias de Usuario'!D:D, "Selecciona una historia"), "")</f>
        <v>Como usuario del taller quiero eliminar tareas de una orden para corregir errores</v>
      </c>
      <c r="D339" s="22" t="s">
        <v>698</v>
      </c>
      <c r="E339" s="21" t="s">
        <v>724</v>
      </c>
      <c r="F339" s="21" t="s">
        <v>266</v>
      </c>
      <c r="G339" s="10" t="s">
        <v>1193</v>
      </c>
      <c r="H339" s="22" t="s">
        <v>17</v>
      </c>
    </row>
    <row r="340" spans="2:8" ht="30" x14ac:dyDescent="0.3">
      <c r="B340" s="20" t="str">
        <f>IFERROR(_xlfn.XLOOKUP(D340,'Historias de Usuario'!C:C,'Historias de Usuario'!B:B, "Selecciona una historia"), "")</f>
        <v>Gestión de Taller de Mantención</v>
      </c>
      <c r="C340" s="21" t="str">
        <f>IFERROR(_xlfn.XLOOKUP(D340,'Historias de Usuario'!C:C,'Historias de Usuario'!D:D, "Selecciona una historia"), "")</f>
        <v>Como usuario del taller quiero eliminar tareas de una orden para corregir errores</v>
      </c>
      <c r="D340" s="22" t="s">
        <v>698</v>
      </c>
      <c r="E340" s="21" t="s">
        <v>725</v>
      </c>
      <c r="F340" s="21" t="s">
        <v>701</v>
      </c>
      <c r="G340" s="10" t="s">
        <v>1193</v>
      </c>
      <c r="H340" s="22" t="s">
        <v>17</v>
      </c>
    </row>
    <row r="341" spans="2:8" ht="30" x14ac:dyDescent="0.3">
      <c r="B341" s="20" t="str">
        <f>IFERROR(_xlfn.XLOOKUP(D341,'Historias de Usuario'!C:C,'Historias de Usuario'!B:B, "Selecciona una historia"), "")</f>
        <v>Gestión de Taller de Mantención</v>
      </c>
      <c r="C341" s="21" t="str">
        <f>IFERROR(_xlfn.XLOOKUP(D341,'Historias de Usuario'!C:C,'Historias de Usuario'!D:D, "Selecciona una historia"), "")</f>
        <v>Como usuario del taller quiero agregar repuestos a una tarea para registrar los materiales utilizados</v>
      </c>
      <c r="D341" s="22" t="s">
        <v>707</v>
      </c>
      <c r="E341" s="21" t="s">
        <v>730</v>
      </c>
      <c r="F341" s="21" t="s">
        <v>708</v>
      </c>
      <c r="G341" s="10" t="s">
        <v>1193</v>
      </c>
      <c r="H341" s="22" t="s">
        <v>17</v>
      </c>
    </row>
    <row r="342" spans="2:8" ht="30" x14ac:dyDescent="0.3">
      <c r="B342" s="20" t="str">
        <f>IFERROR(_xlfn.XLOOKUP(D342,'Historias de Usuario'!C:C,'Historias de Usuario'!B:B, "Selecciona una historia"), "")</f>
        <v>Gestión de Taller de Mantención</v>
      </c>
      <c r="C342" s="21" t="str">
        <f>IFERROR(_xlfn.XLOOKUP(D342,'Historias de Usuario'!C:C,'Historias de Usuario'!D:D, "Selecciona una historia"), "")</f>
        <v>Como usuario del taller quiero agregar repuestos a una tarea para registrar los materiales utilizados</v>
      </c>
      <c r="D342" s="22" t="s">
        <v>707</v>
      </c>
      <c r="E342" s="21" t="s">
        <v>731</v>
      </c>
      <c r="F342" s="21" t="s">
        <v>709</v>
      </c>
      <c r="G342" s="10" t="s">
        <v>1193</v>
      </c>
      <c r="H342" s="22" t="s">
        <v>17</v>
      </c>
    </row>
    <row r="343" spans="2:8" ht="30" x14ac:dyDescent="0.3">
      <c r="B343" s="20" t="str">
        <f>IFERROR(_xlfn.XLOOKUP(D343,'Historias de Usuario'!C:C,'Historias de Usuario'!B:B, "Selecciona una historia"), "")</f>
        <v>Gestión de Taller de Mantención</v>
      </c>
      <c r="C343" s="21" t="str">
        <f>IFERROR(_xlfn.XLOOKUP(D343,'Historias de Usuario'!C:C,'Historias de Usuario'!D:D, "Selecciona una historia"), "")</f>
        <v>Como usuario del taller quiero agregar repuestos a una tarea para registrar los materiales utilizados</v>
      </c>
      <c r="D343" s="22" t="s">
        <v>707</v>
      </c>
      <c r="E343" s="21" t="s">
        <v>732</v>
      </c>
      <c r="F343" s="21" t="s">
        <v>710</v>
      </c>
      <c r="G343" s="10" t="s">
        <v>1193</v>
      </c>
      <c r="H343" s="22" t="s">
        <v>17</v>
      </c>
    </row>
    <row r="344" spans="2:8" ht="30" x14ac:dyDescent="0.3">
      <c r="B344" s="20" t="str">
        <f>IFERROR(_xlfn.XLOOKUP(D344,'Historias de Usuario'!C:C,'Historias de Usuario'!B:B, "Selecciona una historia"), "")</f>
        <v>Gestión de Taller de Mantención</v>
      </c>
      <c r="C344" s="21" t="str">
        <f>IFERROR(_xlfn.XLOOKUP(D344,'Historias de Usuario'!C:C,'Historias de Usuario'!D:D, "Selecciona una historia"), "")</f>
        <v>Como usuario del taller quiero agregar repuestos a una tarea para registrar los materiales utilizados</v>
      </c>
      <c r="D344" s="22" t="s">
        <v>707</v>
      </c>
      <c r="E344" s="21" t="s">
        <v>733</v>
      </c>
      <c r="F344" s="21" t="s">
        <v>711</v>
      </c>
      <c r="G344" s="10" t="s">
        <v>1193</v>
      </c>
      <c r="H344" s="22" t="s">
        <v>17</v>
      </c>
    </row>
    <row r="345" spans="2:8" ht="30" x14ac:dyDescent="0.3">
      <c r="B345" s="20" t="str">
        <f>IFERROR(_xlfn.XLOOKUP(D345,'Historias de Usuario'!C:C,'Historias de Usuario'!B:B, "Selecciona una historia"), "")</f>
        <v>Gestión de Taller de Mantención</v>
      </c>
      <c r="C345" s="21" t="str">
        <f>IFERROR(_xlfn.XLOOKUP(D345,'Historias de Usuario'!C:C,'Historias de Usuario'!D:D, "Selecciona una historia"), "")</f>
        <v>Como usuario del taller quiero agregar repuestos a una tarea para registrar los materiales utilizados</v>
      </c>
      <c r="D345" s="22" t="s">
        <v>707</v>
      </c>
      <c r="E345" s="21" t="s">
        <v>740</v>
      </c>
      <c r="F345" s="21" t="s">
        <v>712</v>
      </c>
      <c r="G345" s="10" t="s">
        <v>1193</v>
      </c>
      <c r="H345" s="22" t="s">
        <v>17</v>
      </c>
    </row>
    <row r="346" spans="2:8" ht="30" x14ac:dyDescent="0.3">
      <c r="B346" s="20" t="str">
        <f>IFERROR(_xlfn.XLOOKUP(D346,'Historias de Usuario'!C:C,'Historias de Usuario'!B:B, "Selecciona una historia"), "")</f>
        <v>Gestión de Taller de Mantención</v>
      </c>
      <c r="C346" s="21" t="str">
        <f>IFERROR(_xlfn.XLOOKUP(D346,'Historias de Usuario'!C:C,'Historias de Usuario'!D:D, "Selecciona una historia"), "")</f>
        <v>Como usuario del taller quiero agregar repuestos a una tarea para registrar los materiales utilizados</v>
      </c>
      <c r="D346" s="22" t="s">
        <v>707</v>
      </c>
      <c r="E346" s="21" t="s">
        <v>741</v>
      </c>
      <c r="F346" s="21" t="s">
        <v>713</v>
      </c>
      <c r="G346" s="10" t="s">
        <v>1193</v>
      </c>
      <c r="H346" s="22" t="s">
        <v>17</v>
      </c>
    </row>
    <row r="347" spans="2:8" ht="30" x14ac:dyDescent="0.3">
      <c r="B347" s="20" t="str">
        <f>IFERROR(_xlfn.XLOOKUP(D347,'Historias de Usuario'!C:C,'Historias de Usuario'!B:B, "Selecciona una historia"), "")</f>
        <v>Gestión de Taller de Mantención</v>
      </c>
      <c r="C347" s="21" t="str">
        <f>IFERROR(_xlfn.XLOOKUP(D347,'Historias de Usuario'!C:C,'Historias de Usuario'!D:D, "Selecciona una historia"), "")</f>
        <v>Como usuario del taller quiero agregar repuestos a una tarea para registrar los materiales utilizados</v>
      </c>
      <c r="D347" s="22" t="s">
        <v>707</v>
      </c>
      <c r="E347" s="21" t="s">
        <v>742</v>
      </c>
      <c r="F347" s="21" t="s">
        <v>154</v>
      </c>
      <c r="G347" s="10" t="s">
        <v>1193</v>
      </c>
      <c r="H347" s="22" t="s">
        <v>17</v>
      </c>
    </row>
    <row r="348" spans="2:8" ht="30" x14ac:dyDescent="0.3">
      <c r="B348" s="20" t="str">
        <f>IFERROR(_xlfn.XLOOKUP(D348,'Historias de Usuario'!C:C,'Historias de Usuario'!B:B, "Selecciona una historia"), "")</f>
        <v>Gestión de Taller de Mantención</v>
      </c>
      <c r="C348" s="21" t="str">
        <f>IFERROR(_xlfn.XLOOKUP(D348,'Historias de Usuario'!C:C,'Historias de Usuario'!D:D, "Selecciona una historia"), "")</f>
        <v>Como usuario del taller quiero agregar repuestos a una tarea para registrar los materiales utilizados</v>
      </c>
      <c r="D348" s="22" t="s">
        <v>707</v>
      </c>
      <c r="E348" s="21" t="s">
        <v>743</v>
      </c>
      <c r="F348" s="21" t="s">
        <v>714</v>
      </c>
      <c r="G348" s="10" t="s">
        <v>1193</v>
      </c>
      <c r="H348" s="22" t="s">
        <v>17</v>
      </c>
    </row>
    <row r="349" spans="2:8" ht="30" x14ac:dyDescent="0.3">
      <c r="B349" s="20" t="str">
        <f>IFERROR(_xlfn.XLOOKUP(D349,'Historias de Usuario'!C:C,'Historias de Usuario'!B:B, "Selecciona una historia"), "")</f>
        <v>Gestión de Taller de Mantención</v>
      </c>
      <c r="C349" s="21" t="str">
        <f>IFERROR(_xlfn.XLOOKUP(D349,'Historias de Usuario'!C:C,'Historias de Usuario'!D:D, "Selecciona una historia"), "")</f>
        <v>Como usuario del taller quiero agregar repuestos a una tarea para registrar los materiales utilizados</v>
      </c>
      <c r="D349" s="22" t="s">
        <v>707</v>
      </c>
      <c r="E349" s="21" t="s">
        <v>744</v>
      </c>
      <c r="F349" s="21" t="s">
        <v>686</v>
      </c>
      <c r="G349" s="10" t="s">
        <v>1193</v>
      </c>
      <c r="H349" s="22" t="s">
        <v>17</v>
      </c>
    </row>
    <row r="350" spans="2:8" ht="30" x14ac:dyDescent="0.3">
      <c r="B350" s="20" t="str">
        <f>IFERROR(_xlfn.XLOOKUP(D350,'Historias de Usuario'!C:C,'Historias de Usuario'!B:B, "Selecciona una historia"), "")</f>
        <v>Gestión de Taller de Mantención</v>
      </c>
      <c r="C350" s="21" t="str">
        <f>IFERROR(_xlfn.XLOOKUP(D350,'Historias de Usuario'!C:C,'Historias de Usuario'!D:D, "Selecciona una historia"), "")</f>
        <v>Como usuario del taller quiero agregar repuestos a una tarea para registrar los materiales utilizados</v>
      </c>
      <c r="D350" s="22" t="s">
        <v>707</v>
      </c>
      <c r="E350" s="21" t="s">
        <v>745</v>
      </c>
      <c r="F350" s="21" t="s">
        <v>715</v>
      </c>
      <c r="G350" s="10" t="s">
        <v>1193</v>
      </c>
      <c r="H350" s="22" t="s">
        <v>17</v>
      </c>
    </row>
    <row r="351" spans="2:8" ht="30" x14ac:dyDescent="0.3">
      <c r="B351" s="20" t="str">
        <f>IFERROR(_xlfn.XLOOKUP(D351,'Historias de Usuario'!C:C,'Historias de Usuario'!B:B, "Selecciona una historia"), "")</f>
        <v>Gestión de Taller de Mantención</v>
      </c>
      <c r="C351" s="21" t="str">
        <f>IFERROR(_xlfn.XLOOKUP(D351,'Historias de Usuario'!C:C,'Historias de Usuario'!D:D, "Selecciona una historia"), "")</f>
        <v>Como usuario del taller quiero elimminar repuestos de una tarea para corregir errores y devolver stock</v>
      </c>
      <c r="D351" s="22" t="s">
        <v>727</v>
      </c>
      <c r="E351" s="21" t="s">
        <v>756</v>
      </c>
      <c r="F351" s="21" t="s">
        <v>728</v>
      </c>
      <c r="G351" s="10" t="s">
        <v>1193</v>
      </c>
      <c r="H351" s="22" t="s">
        <v>17</v>
      </c>
    </row>
    <row r="352" spans="2:8" ht="30" x14ac:dyDescent="0.3">
      <c r="B352" s="20" t="str">
        <f>IFERROR(_xlfn.XLOOKUP(D352,'Historias de Usuario'!C:C,'Historias de Usuario'!B:B, "Selecciona una historia"), "")</f>
        <v>Gestión de Taller de Mantención</v>
      </c>
      <c r="C352" s="21" t="str">
        <f>IFERROR(_xlfn.XLOOKUP(D352,'Historias de Usuario'!C:C,'Historias de Usuario'!D:D, "Selecciona una historia"), "")</f>
        <v>Como usuario del taller quiero elimminar repuestos de una tarea para corregir errores y devolver stock</v>
      </c>
      <c r="D352" s="22" t="s">
        <v>727</v>
      </c>
      <c r="E352" s="21" t="s">
        <v>757</v>
      </c>
      <c r="F352" s="21" t="s">
        <v>729</v>
      </c>
      <c r="G352" s="10" t="s">
        <v>1193</v>
      </c>
      <c r="H352" s="22" t="s">
        <v>17</v>
      </c>
    </row>
    <row r="353" spans="2:8" ht="30" x14ac:dyDescent="0.3">
      <c r="B353" s="20" t="str">
        <f>IFERROR(_xlfn.XLOOKUP(D353,'Historias de Usuario'!C:C,'Historias de Usuario'!B:B, "Selecciona una historia"), "")</f>
        <v>Gestión de Taller de Mantención</v>
      </c>
      <c r="C353" s="21" t="str">
        <f>IFERROR(_xlfn.XLOOKUP(D353,'Historias de Usuario'!C:C,'Historias de Usuario'!D:D, "Selecciona una historia"), "")</f>
        <v>Como usuario del taller quiero elimminar repuestos de una tarea para corregir errores y devolver stock</v>
      </c>
      <c r="D353" s="22" t="s">
        <v>727</v>
      </c>
      <c r="E353" s="21" t="s">
        <v>758</v>
      </c>
      <c r="F353" s="21" t="s">
        <v>700</v>
      </c>
      <c r="G353" s="10" t="s">
        <v>1193</v>
      </c>
      <c r="H353" s="22" t="s">
        <v>17</v>
      </c>
    </row>
    <row r="354" spans="2:8" ht="30" x14ac:dyDescent="0.3">
      <c r="B354" s="20" t="str">
        <f>IFERROR(_xlfn.XLOOKUP(D354,'Historias de Usuario'!C:C,'Historias de Usuario'!B:B, "Selecciona una historia"), "")</f>
        <v>Gestión de Taller de Mantención</v>
      </c>
      <c r="C354" s="21" t="str">
        <f>IFERROR(_xlfn.XLOOKUP(D354,'Historias de Usuario'!C:C,'Historias de Usuario'!D:D, "Selecciona una historia"), "")</f>
        <v>Como usuario del taller quiero elimminar repuestos de una tarea para corregir errores y devolver stock</v>
      </c>
      <c r="D354" s="22" t="s">
        <v>727</v>
      </c>
      <c r="E354" s="21" t="s">
        <v>759</v>
      </c>
      <c r="F354" s="21" t="s">
        <v>266</v>
      </c>
      <c r="G354" s="10" t="s">
        <v>1193</v>
      </c>
      <c r="H354" s="22" t="s">
        <v>17</v>
      </c>
    </row>
    <row r="355" spans="2:8" ht="30" x14ac:dyDescent="0.3">
      <c r="B355" s="20" t="str">
        <f>IFERROR(_xlfn.XLOOKUP(D355,'Historias de Usuario'!C:C,'Historias de Usuario'!B:B, "Selecciona una historia"), "")</f>
        <v>Gestión de Taller de Mantención</v>
      </c>
      <c r="C355" s="21" t="str">
        <f>IFERROR(_xlfn.XLOOKUP(D355,'Historias de Usuario'!C:C,'Historias de Usuario'!D:D, "Selecciona una historia"), "")</f>
        <v>Como usuario del taller quiero agregar un repuesto al inventario parar tener stock disponible</v>
      </c>
      <c r="D355" s="22" t="s">
        <v>735</v>
      </c>
      <c r="E355" s="21" t="s">
        <v>760</v>
      </c>
      <c r="F355" s="21" t="s">
        <v>747</v>
      </c>
      <c r="G355" s="10" t="s">
        <v>1193</v>
      </c>
      <c r="H355" s="22" t="s">
        <v>17</v>
      </c>
    </row>
    <row r="356" spans="2:8" ht="30" x14ac:dyDescent="0.3">
      <c r="B356" s="20" t="str">
        <f>IFERROR(_xlfn.XLOOKUP(D356,'Historias de Usuario'!C:C,'Historias de Usuario'!B:B, "Selecciona una historia"), "")</f>
        <v>Gestión de Taller de Mantención</v>
      </c>
      <c r="C356" s="21" t="str">
        <f>IFERROR(_xlfn.XLOOKUP(D356,'Historias de Usuario'!C:C,'Historias de Usuario'!D:D, "Selecciona una historia"), "")</f>
        <v>Como usuario del taller quiero agregar un repuesto al inventario parar tener stock disponible</v>
      </c>
      <c r="D356" s="22" t="s">
        <v>735</v>
      </c>
      <c r="E356" s="21" t="s">
        <v>762</v>
      </c>
      <c r="F356" s="21" t="s">
        <v>748</v>
      </c>
      <c r="G356" s="10" t="s">
        <v>1193</v>
      </c>
      <c r="H356" s="22" t="s">
        <v>17</v>
      </c>
    </row>
    <row r="357" spans="2:8" ht="30" x14ac:dyDescent="0.3">
      <c r="B357" s="20" t="str">
        <f>IFERROR(_xlfn.XLOOKUP(D357,'Historias de Usuario'!C:C,'Historias de Usuario'!B:B, "Selecciona una historia"), "")</f>
        <v>Gestión de Taller de Mantención</v>
      </c>
      <c r="C357" s="21" t="str">
        <f>IFERROR(_xlfn.XLOOKUP(D357,'Historias de Usuario'!C:C,'Historias de Usuario'!D:D, "Selecciona una historia"), "")</f>
        <v>Como usuario del taller quiero agregar un repuesto al inventario parar tener stock disponible</v>
      </c>
      <c r="D357" s="22" t="s">
        <v>735</v>
      </c>
      <c r="E357" s="21" t="s">
        <v>763</v>
      </c>
      <c r="F357" s="21" t="s">
        <v>749</v>
      </c>
      <c r="G357" s="10" t="s">
        <v>1193</v>
      </c>
      <c r="H357" s="22" t="s">
        <v>17</v>
      </c>
    </row>
    <row r="358" spans="2:8" ht="30" x14ac:dyDescent="0.3">
      <c r="B358" s="20" t="str">
        <f>IFERROR(_xlfn.XLOOKUP(D358,'Historias de Usuario'!C:C,'Historias de Usuario'!B:B, "Selecciona una historia"), "")</f>
        <v>Gestión de Taller de Mantención</v>
      </c>
      <c r="C358" s="21" t="str">
        <f>IFERROR(_xlfn.XLOOKUP(D358,'Historias de Usuario'!C:C,'Historias de Usuario'!D:D, "Selecciona una historia"), "")</f>
        <v>Como usuario del taller quiero agregar un repuesto al inventario parar tener stock disponible</v>
      </c>
      <c r="D358" s="22" t="s">
        <v>735</v>
      </c>
      <c r="E358" s="21" t="s">
        <v>764</v>
      </c>
      <c r="F358" s="21" t="s">
        <v>751</v>
      </c>
      <c r="G358" s="10" t="s">
        <v>1193</v>
      </c>
      <c r="H358" s="22" t="s">
        <v>17</v>
      </c>
    </row>
    <row r="359" spans="2:8" ht="30" x14ac:dyDescent="0.3">
      <c r="B359" s="20" t="str">
        <f>IFERROR(_xlfn.XLOOKUP(D359,'Historias de Usuario'!C:C,'Historias de Usuario'!B:B, "Selecciona una historia"), "")</f>
        <v>Gestión de Taller de Mantención</v>
      </c>
      <c r="C359" s="21" t="str">
        <f>IFERROR(_xlfn.XLOOKUP(D359,'Historias de Usuario'!C:C,'Historias de Usuario'!D:D, "Selecciona una historia"), "")</f>
        <v>Como usuario del taller quiero agregar un repuesto al inventario parar tener stock disponible</v>
      </c>
      <c r="D359" s="22" t="s">
        <v>735</v>
      </c>
      <c r="E359" s="21" t="s">
        <v>765</v>
      </c>
      <c r="F359" s="21" t="s">
        <v>750</v>
      </c>
      <c r="G359" s="10" t="s">
        <v>1193</v>
      </c>
      <c r="H359" s="22" t="s">
        <v>17</v>
      </c>
    </row>
    <row r="360" spans="2:8" ht="30" x14ac:dyDescent="0.3">
      <c r="B360" s="20" t="str">
        <f>IFERROR(_xlfn.XLOOKUP(D360,'Historias de Usuario'!C:C,'Historias de Usuario'!B:B, "Selecciona una historia"), "")</f>
        <v>Gestión de Taller de Mantención</v>
      </c>
      <c r="C360" s="21" t="str">
        <f>IFERROR(_xlfn.XLOOKUP(D360,'Historias de Usuario'!C:C,'Historias de Usuario'!D:D, "Selecciona una historia"), "")</f>
        <v>Como usuario del taller quiero agregar un repuesto al inventario parar tener stock disponible</v>
      </c>
      <c r="D360" s="22" t="s">
        <v>735</v>
      </c>
      <c r="E360" s="21" t="s">
        <v>766</v>
      </c>
      <c r="F360" s="21" t="s">
        <v>752</v>
      </c>
      <c r="G360" s="10" t="s">
        <v>1193</v>
      </c>
      <c r="H360" s="22" t="s">
        <v>17</v>
      </c>
    </row>
    <row r="361" spans="2:8" ht="30" x14ac:dyDescent="0.3">
      <c r="B361" s="20" t="str">
        <f>IFERROR(_xlfn.XLOOKUP(D361,'Historias de Usuario'!C:C,'Historias de Usuario'!B:B, "Selecciona una historia"), "")</f>
        <v>Gestión de Taller de Mantención</v>
      </c>
      <c r="C361" s="21" t="str">
        <f>IFERROR(_xlfn.XLOOKUP(D361,'Historias de Usuario'!C:C,'Historias de Usuario'!D:D, "Selecciona una historia"), "")</f>
        <v>Como usuario del taller quiero agregar un repuesto al inventario parar tener stock disponible</v>
      </c>
      <c r="D361" s="22" t="s">
        <v>735</v>
      </c>
      <c r="E361" s="21" t="s">
        <v>767</v>
      </c>
      <c r="F361" s="21" t="s">
        <v>753</v>
      </c>
      <c r="G361" s="10" t="s">
        <v>1193</v>
      </c>
      <c r="H361" s="22" t="s">
        <v>17</v>
      </c>
    </row>
    <row r="362" spans="2:8" ht="30" x14ac:dyDescent="0.3">
      <c r="B362" s="20" t="str">
        <f>IFERROR(_xlfn.XLOOKUP(D362,'Historias de Usuario'!C:C,'Historias de Usuario'!B:B, "Selecciona una historia"), "")</f>
        <v>Gestión de Taller de Mantención</v>
      </c>
      <c r="C362" s="21" t="str">
        <f>IFERROR(_xlfn.XLOOKUP(D362,'Historias de Usuario'!C:C,'Historias de Usuario'!D:D, "Selecciona una historia"), "")</f>
        <v>Como usuario del taller quiero agregar un repuesto al inventario parar tener stock disponible</v>
      </c>
      <c r="D362" s="22" t="s">
        <v>735</v>
      </c>
      <c r="E362" s="21" t="s">
        <v>776</v>
      </c>
      <c r="F362" s="21" t="s">
        <v>154</v>
      </c>
      <c r="G362" s="10" t="s">
        <v>1193</v>
      </c>
      <c r="H362" s="22" t="s">
        <v>17</v>
      </c>
    </row>
    <row r="363" spans="2:8" ht="30" x14ac:dyDescent="0.3">
      <c r="B363" s="20" t="str">
        <f>IFERROR(_xlfn.XLOOKUP(D363,'Historias de Usuario'!C:C,'Historias de Usuario'!B:B, "Selecciona una historia"), "")</f>
        <v>Gestión de Taller de Mantención</v>
      </c>
      <c r="C363" s="21" t="str">
        <f>IFERROR(_xlfn.XLOOKUP(D363,'Historias de Usuario'!C:C,'Historias de Usuario'!D:D, "Selecciona una historia"), "")</f>
        <v>Como usuario del taller quiero agregar un repuesto al inventario parar tener stock disponible</v>
      </c>
      <c r="D363" s="22" t="s">
        <v>735</v>
      </c>
      <c r="E363" s="21" t="s">
        <v>777</v>
      </c>
      <c r="F363" s="21" t="s">
        <v>754</v>
      </c>
      <c r="G363" s="10" t="s">
        <v>1193</v>
      </c>
      <c r="H363" s="22" t="s">
        <v>17</v>
      </c>
    </row>
    <row r="364" spans="2:8" ht="30" x14ac:dyDescent="0.3">
      <c r="B364" s="20" t="str">
        <f>IFERROR(_xlfn.XLOOKUP(D364,'Historias de Usuario'!C:C,'Historias de Usuario'!B:B, "Selecciona una historia"), "")</f>
        <v>Gestión de Taller de Mantención</v>
      </c>
      <c r="C364" s="21" t="str">
        <f>IFERROR(_xlfn.XLOOKUP(D364,'Historias de Usuario'!C:C,'Historias de Usuario'!D:D, "Selecciona una historia"), "")</f>
        <v>Como usuario del taller quiero agregar un repuesto al inventario parar tener stock disponible</v>
      </c>
      <c r="D364" s="22" t="s">
        <v>735</v>
      </c>
      <c r="E364" s="21" t="s">
        <v>778</v>
      </c>
      <c r="F364" s="21" t="s">
        <v>686</v>
      </c>
      <c r="G364" s="10" t="s">
        <v>1193</v>
      </c>
      <c r="H364" s="22" t="s">
        <v>17</v>
      </c>
    </row>
    <row r="365" spans="2:8" ht="30" x14ac:dyDescent="0.3">
      <c r="B365" s="20" t="str">
        <f>IFERROR(_xlfn.XLOOKUP(D365,'Historias de Usuario'!C:C,'Historias de Usuario'!B:B, "Selecciona una historia"), "")</f>
        <v>Gestión de Taller de Mantención</v>
      </c>
      <c r="C365" s="21" t="str">
        <f>IFERROR(_xlfn.XLOOKUP(D365,'Historias de Usuario'!C:C,'Historias de Usuario'!D:D, "Selecciona una historia"), "")</f>
        <v>Como usuario del taller quiero agregar un repuesto al inventario parar tener stock disponible</v>
      </c>
      <c r="D365" s="22" t="s">
        <v>735</v>
      </c>
      <c r="E365" s="21" t="s">
        <v>779</v>
      </c>
      <c r="F365" s="21" t="s">
        <v>755</v>
      </c>
      <c r="G365" s="10" t="s">
        <v>1193</v>
      </c>
      <c r="H365" s="22" t="s">
        <v>17</v>
      </c>
    </row>
    <row r="366" spans="2:8" ht="30" x14ac:dyDescent="0.3">
      <c r="B366" s="20" t="str">
        <f>IFERROR(_xlfn.XLOOKUP(D366,'Historias de Usuario'!C:C,'Historias de Usuario'!B:B, "Selecciona una historia"), "")</f>
        <v>Gestión de Taller de Mantención</v>
      </c>
      <c r="C366" s="21" t="str">
        <f>IFERROR(_xlfn.XLOOKUP(D366,'Historias de Usuario'!C:C,'Historias de Usuario'!D:D, "Selecciona una historia"), "")</f>
        <v>Como usuario del taller quiero ver el inventario de repuestos del taller para gestionar el stock disponible</v>
      </c>
      <c r="D366" s="22" t="s">
        <v>761</v>
      </c>
      <c r="E366" s="21" t="s">
        <v>780</v>
      </c>
      <c r="F366" s="21" t="s">
        <v>736</v>
      </c>
      <c r="G366" s="10" t="s">
        <v>1193</v>
      </c>
      <c r="H366" s="22" t="s">
        <v>17</v>
      </c>
    </row>
    <row r="367" spans="2:8" ht="30" x14ac:dyDescent="0.3">
      <c r="B367" s="18" t="str">
        <f>IFERROR(_xlfn.XLOOKUP(D367,'Historias de Usuario'!C:C,'Historias de Usuario'!B:B, "Selecciona una historia"), "")</f>
        <v>Gestión de Taller de Mantención</v>
      </c>
      <c r="C367" s="10" t="str">
        <f>IFERROR(_xlfn.XLOOKUP(D367,'Historias de Usuario'!C:C,'Historias de Usuario'!D:D, "Selecciona una historia"), "")</f>
        <v>Como usuario del taller quiero ver el inventario de repuestos del taller para gestionar el stock disponible</v>
      </c>
      <c r="D367" s="22" t="s">
        <v>761</v>
      </c>
      <c r="E367" s="21" t="s">
        <v>781</v>
      </c>
      <c r="F367" s="21" t="s">
        <v>737</v>
      </c>
      <c r="G367" s="10" t="s">
        <v>1193</v>
      </c>
      <c r="H367" s="9" t="s">
        <v>17</v>
      </c>
    </row>
    <row r="368" spans="2:8" ht="30" x14ac:dyDescent="0.3">
      <c r="B368" s="18" t="str">
        <f>IFERROR(_xlfn.XLOOKUP(D368,'Historias de Usuario'!C:C,'Historias de Usuario'!B:B, "Selecciona una historia"), "")</f>
        <v>Gestión de Taller de Mantención</v>
      </c>
      <c r="C368" s="10" t="str">
        <f>IFERROR(_xlfn.XLOOKUP(D368,'Historias de Usuario'!C:C,'Historias de Usuario'!D:D, "Selecciona una historia"), "")</f>
        <v>Como usuario del taller quiero ver el inventario de repuestos del taller para gestionar el stock disponible</v>
      </c>
      <c r="D368" s="22" t="s">
        <v>761</v>
      </c>
      <c r="E368" s="21" t="s">
        <v>782</v>
      </c>
      <c r="F368" s="21" t="s">
        <v>312</v>
      </c>
      <c r="G368" s="10" t="s">
        <v>1193</v>
      </c>
      <c r="H368" s="9" t="s">
        <v>17</v>
      </c>
    </row>
    <row r="369" spans="2:8" ht="30" x14ac:dyDescent="0.3">
      <c r="B369" s="18" t="str">
        <f>IFERROR(_xlfn.XLOOKUP(D369,'Historias de Usuario'!C:C,'Historias de Usuario'!B:B, "Selecciona una historia"), "")</f>
        <v>Gestión de Taller de Mantención</v>
      </c>
      <c r="C369" s="10" t="str">
        <f>IFERROR(_xlfn.XLOOKUP(D369,'Historias de Usuario'!C:C,'Historias de Usuario'!D:D, "Selecciona una historia"), "")</f>
        <v>Como usuario del taller quiero ver el inventario de repuestos del taller para gestionar el stock disponible</v>
      </c>
      <c r="D369" s="22" t="s">
        <v>761</v>
      </c>
      <c r="E369" s="21" t="s">
        <v>783</v>
      </c>
      <c r="F369" s="21" t="s">
        <v>313</v>
      </c>
      <c r="G369" s="10" t="s">
        <v>1193</v>
      </c>
      <c r="H369" s="9" t="s">
        <v>17</v>
      </c>
    </row>
    <row r="370" spans="2:8" ht="30" x14ac:dyDescent="0.3">
      <c r="B370" s="18" t="str">
        <f>IFERROR(_xlfn.XLOOKUP(D370,'Historias de Usuario'!C:C,'Historias de Usuario'!B:B, "Selecciona una historia"), "")</f>
        <v>Gestión de Taller de Mantención</v>
      </c>
      <c r="C370" s="10" t="str">
        <f>IFERROR(_xlfn.XLOOKUP(D370,'Historias de Usuario'!C:C,'Historias de Usuario'!D:D, "Selecciona una historia"), "")</f>
        <v>Como usuario del taller quiero ver el inventario de repuestos del taller para gestionar el stock disponible</v>
      </c>
      <c r="D370" s="22" t="s">
        <v>761</v>
      </c>
      <c r="E370" s="21" t="s">
        <v>784</v>
      </c>
      <c r="F370" s="21" t="s">
        <v>738</v>
      </c>
      <c r="G370" s="10" t="s">
        <v>1193</v>
      </c>
      <c r="H370" s="9" t="s">
        <v>17</v>
      </c>
    </row>
    <row r="371" spans="2:8" ht="30" x14ac:dyDescent="0.3">
      <c r="B371" s="18" t="str">
        <f>IFERROR(_xlfn.XLOOKUP(D371,'Historias de Usuario'!C:C,'Historias de Usuario'!B:B, "Selecciona una historia"), "")</f>
        <v>Gestión de Taller de Mantención</v>
      </c>
      <c r="C371" s="10" t="str">
        <f>IFERROR(_xlfn.XLOOKUP(D371,'Historias de Usuario'!C:C,'Historias de Usuario'!D:D, "Selecciona una historia"), "")</f>
        <v>Como usuario del taller quiero ver el inventario de repuestos del taller para gestionar el stock disponible</v>
      </c>
      <c r="D371" s="22" t="s">
        <v>761</v>
      </c>
      <c r="E371" s="21" t="s">
        <v>786</v>
      </c>
      <c r="F371" s="21" t="s">
        <v>739</v>
      </c>
      <c r="G371" s="10" t="s">
        <v>1193</v>
      </c>
      <c r="H371" s="9" t="s">
        <v>17</v>
      </c>
    </row>
    <row r="372" spans="2:8" ht="30" x14ac:dyDescent="0.3">
      <c r="B372" s="20" t="str">
        <f>IFERROR(_xlfn.XLOOKUP(D372,'Historias de Usuario'!C:C,'Historias de Usuario'!B:B, "Selecciona una historia"), "")</f>
        <v>Gestión de Taller de Mantención</v>
      </c>
      <c r="C372" s="21" t="str">
        <f>IFERROR(_xlfn.XLOOKUP(D372,'Historias de Usuario'!C:C,'Historias de Usuario'!D:D, "Selecciona una historia"), "")</f>
        <v>Como usuario del taller quiero editar el stock y costo de un repuesto para mantener el inventario actualizado</v>
      </c>
      <c r="D372" s="22" t="s">
        <v>769</v>
      </c>
      <c r="E372" s="21" t="s">
        <v>787</v>
      </c>
      <c r="F372" s="21" t="s">
        <v>770</v>
      </c>
      <c r="G372" s="10" t="s">
        <v>1193</v>
      </c>
      <c r="H372" s="22" t="s">
        <v>17</v>
      </c>
    </row>
    <row r="373" spans="2:8" ht="30" x14ac:dyDescent="0.3">
      <c r="B373" s="20" t="str">
        <f>IFERROR(_xlfn.XLOOKUP(D373,'Historias de Usuario'!C:C,'Historias de Usuario'!B:B, "Selecciona una historia"), "")</f>
        <v>Gestión de Taller de Mantención</v>
      </c>
      <c r="C373" s="21" t="str">
        <f>IFERROR(_xlfn.XLOOKUP(D373,'Historias de Usuario'!C:C,'Historias de Usuario'!D:D, "Selecciona una historia"), "")</f>
        <v>Como usuario del taller quiero editar el stock y costo de un repuesto para mantener el inventario actualizado</v>
      </c>
      <c r="D373" s="22" t="s">
        <v>769</v>
      </c>
      <c r="E373" s="21" t="s">
        <v>797</v>
      </c>
      <c r="F373" s="21" t="s">
        <v>771</v>
      </c>
      <c r="G373" s="10" t="s">
        <v>1193</v>
      </c>
      <c r="H373" s="22" t="s">
        <v>17</v>
      </c>
    </row>
    <row r="374" spans="2:8" ht="30" x14ac:dyDescent="0.3">
      <c r="B374" s="20" t="str">
        <f>IFERROR(_xlfn.XLOOKUP(D374,'Historias de Usuario'!C:C,'Historias de Usuario'!B:B, "Selecciona una historia"), "")</f>
        <v>Gestión de Taller de Mantención</v>
      </c>
      <c r="C374" s="21" t="str">
        <f>IFERROR(_xlfn.XLOOKUP(D374,'Historias de Usuario'!C:C,'Historias de Usuario'!D:D, "Selecciona una historia"), "")</f>
        <v>Como usuario del taller quiero editar el stock y costo de un repuesto para mantener el inventario actualizado</v>
      </c>
      <c r="D374" s="22" t="s">
        <v>769</v>
      </c>
      <c r="E374" s="21" t="s">
        <v>798</v>
      </c>
      <c r="F374" s="21" t="s">
        <v>772</v>
      </c>
      <c r="G374" s="10" t="s">
        <v>1193</v>
      </c>
      <c r="H374" s="22" t="s">
        <v>17</v>
      </c>
    </row>
    <row r="375" spans="2:8" ht="30" x14ac:dyDescent="0.3">
      <c r="B375" s="20" t="str">
        <f>IFERROR(_xlfn.XLOOKUP(D375,'Historias de Usuario'!C:C,'Historias de Usuario'!B:B, "Selecciona una historia"), "")</f>
        <v>Gestión de Taller de Mantención</v>
      </c>
      <c r="C375" s="21" t="str">
        <f>IFERROR(_xlfn.XLOOKUP(D375,'Historias de Usuario'!C:C,'Historias de Usuario'!D:D, "Selecciona una historia"), "")</f>
        <v>Como usuario del taller quiero editar el stock y costo de un repuesto para mantener el inventario actualizado</v>
      </c>
      <c r="D375" s="22" t="s">
        <v>769</v>
      </c>
      <c r="E375" s="21" t="s">
        <v>799</v>
      </c>
      <c r="F375" s="21" t="s">
        <v>773</v>
      </c>
      <c r="G375" s="10" t="s">
        <v>1193</v>
      </c>
      <c r="H375" s="22" t="s">
        <v>17</v>
      </c>
    </row>
    <row r="376" spans="2:8" ht="30" x14ac:dyDescent="0.3">
      <c r="B376" s="20" t="str">
        <f>IFERROR(_xlfn.XLOOKUP(D376,'Historias de Usuario'!C:C,'Historias de Usuario'!B:B, "Selecciona una historia"), "")</f>
        <v>Gestión de Taller de Mantención</v>
      </c>
      <c r="C376" s="21" t="str">
        <f>IFERROR(_xlfn.XLOOKUP(D376,'Historias de Usuario'!C:C,'Historias de Usuario'!D:D, "Selecciona una historia"), "")</f>
        <v>Como usuario del taller quiero editar el stock y costo de un repuesto para mantener el inventario actualizado</v>
      </c>
      <c r="D376" s="22" t="s">
        <v>769</v>
      </c>
      <c r="E376" s="21" t="s">
        <v>800</v>
      </c>
      <c r="F376" s="21" t="s">
        <v>774</v>
      </c>
      <c r="G376" s="10" t="s">
        <v>1193</v>
      </c>
      <c r="H376" s="22" t="s">
        <v>17</v>
      </c>
    </row>
    <row r="377" spans="2:8" ht="30" x14ac:dyDescent="0.3">
      <c r="B377" s="20" t="str">
        <f>IFERROR(_xlfn.XLOOKUP(D377,'Historias de Usuario'!C:C,'Historias de Usuario'!B:B, "Selecciona una historia"), "")</f>
        <v>Gestión de Taller de Mantención</v>
      </c>
      <c r="C377" s="21" t="str">
        <f>IFERROR(_xlfn.XLOOKUP(D377,'Historias de Usuario'!C:C,'Historias de Usuario'!D:D, "Selecciona una historia"), "")</f>
        <v>Como usuario del taller quiero editar el stock y costo de un repuesto para mantener el inventario actualizado</v>
      </c>
      <c r="D377" s="22" t="s">
        <v>769</v>
      </c>
      <c r="E377" s="21" t="s">
        <v>801</v>
      </c>
      <c r="F377" s="21" t="s">
        <v>775</v>
      </c>
      <c r="G377" s="10" t="s">
        <v>1193</v>
      </c>
      <c r="H377" s="22" t="s">
        <v>17</v>
      </c>
    </row>
    <row r="378" spans="2:8" ht="30" x14ac:dyDescent="0.3">
      <c r="B378" s="20" t="str">
        <f>IFERROR(_xlfn.XLOOKUP(D378,'Historias de Usuario'!C:C,'Historias de Usuario'!B:B, "Selecciona una historia"), "")</f>
        <v>Gestión de Taller de Mantención</v>
      </c>
      <c r="C378" s="21" t="str">
        <f>IFERROR(_xlfn.XLOOKUP(D378,'Historias de Usuario'!C:C,'Historias de Usuario'!D:D, "Selecciona una historia"), "")</f>
        <v>Como usuario del taller quiero editar el stock y costo de un repuesto para mantener el inventario actualizado</v>
      </c>
      <c r="D378" s="22" t="s">
        <v>769</v>
      </c>
      <c r="E378" s="21" t="s">
        <v>802</v>
      </c>
      <c r="F378" s="21" t="s">
        <v>259</v>
      </c>
      <c r="G378" s="10" t="s">
        <v>1193</v>
      </c>
      <c r="H378" s="22" t="s">
        <v>17</v>
      </c>
    </row>
    <row r="379" spans="2:8" ht="30" x14ac:dyDescent="0.3">
      <c r="B379" s="20" t="str">
        <f>IFERROR(_xlfn.XLOOKUP(D379,'Historias de Usuario'!C:C,'Historias de Usuario'!B:B, "Selecciona una historia"), "")</f>
        <v>Gestión de Taller de Mantención</v>
      </c>
      <c r="C379" s="21" t="str">
        <f>IFERROR(_xlfn.XLOOKUP(D379,'Historias de Usuario'!C:C,'Historias de Usuario'!D:D, "Selecciona una historia"), "")</f>
        <v>Como usuario del taller quiero editar el stock y costo de un repuesto para mantener el inventario actualizado</v>
      </c>
      <c r="D379" s="22" t="s">
        <v>769</v>
      </c>
      <c r="E379" s="21" t="s">
        <v>803</v>
      </c>
      <c r="F379" s="21" t="s">
        <v>374</v>
      </c>
      <c r="G379" s="10" t="s">
        <v>1193</v>
      </c>
      <c r="H379" s="22" t="s">
        <v>17</v>
      </c>
    </row>
    <row r="380" spans="2:8" ht="30" x14ac:dyDescent="0.3">
      <c r="B380" s="20" t="str">
        <f>IFERROR(_xlfn.XLOOKUP(D380,'Historias de Usuario'!C:C,'Historias de Usuario'!B:B, "Selecciona una historia"), "")</f>
        <v>Gestión de Taller de Mantención</v>
      </c>
      <c r="C380" s="21" t="str">
        <f>IFERROR(_xlfn.XLOOKUP(D380,'Historias de Usuario'!C:C,'Historias de Usuario'!D:D, "Selecciona una historia"), "")</f>
        <v>Como usuario del taller quiero editar el stock y costo de un repuesto para mantener el inventario actualizado</v>
      </c>
      <c r="D380" s="22" t="s">
        <v>769</v>
      </c>
      <c r="E380" s="21" t="s">
        <v>804</v>
      </c>
      <c r="F380" s="21" t="s">
        <v>171</v>
      </c>
      <c r="G380" s="10" t="s">
        <v>1193</v>
      </c>
      <c r="H380" s="22" t="s">
        <v>17</v>
      </c>
    </row>
    <row r="381" spans="2:8" ht="30" x14ac:dyDescent="0.3">
      <c r="B381" s="20" t="str">
        <f>IFERROR(_xlfn.XLOOKUP(D381,'Historias de Usuario'!C:C,'Historias de Usuario'!B:B, "Selecciona una historia"), "")</f>
        <v>Gestión de Taller de Mantención</v>
      </c>
      <c r="C381" s="21" t="str">
        <f>IFERROR(_xlfn.XLOOKUP(D381,'Historias de Usuario'!C:C,'Historias de Usuario'!D:D, "Selecciona una historia"), "")</f>
        <v>Como Admin Taller quiero eliminar un repuesto del inventario para mantener solo items vigentes</v>
      </c>
      <c r="D381" s="22" t="s">
        <v>785</v>
      </c>
      <c r="E381" s="21" t="s">
        <v>810</v>
      </c>
      <c r="F381" s="21" t="s">
        <v>313</v>
      </c>
      <c r="G381" s="10" t="s">
        <v>1193</v>
      </c>
      <c r="H381" s="22" t="s">
        <v>17</v>
      </c>
    </row>
    <row r="382" spans="2:8" ht="30" x14ac:dyDescent="0.3">
      <c r="B382" s="20" t="str">
        <f>IFERROR(_xlfn.XLOOKUP(D382,'Historias de Usuario'!C:C,'Historias de Usuario'!B:B, "Selecciona una historia"), "")</f>
        <v>Gestión de Taller de Mantención</v>
      </c>
      <c r="C382" s="21" t="str">
        <f>IFERROR(_xlfn.XLOOKUP(D382,'Historias de Usuario'!C:C,'Historias de Usuario'!D:D, "Selecciona una historia"), "")</f>
        <v>Como Admin Taller quiero eliminar un repuesto del inventario para mantener solo items vigentes</v>
      </c>
      <c r="D382" s="22" t="s">
        <v>785</v>
      </c>
      <c r="E382" s="21" t="s">
        <v>811</v>
      </c>
      <c r="F382" s="21" t="s">
        <v>266</v>
      </c>
      <c r="G382" s="10" t="s">
        <v>1193</v>
      </c>
      <c r="H382" s="22" t="s">
        <v>17</v>
      </c>
    </row>
    <row r="383" spans="2:8" ht="30" x14ac:dyDescent="0.3">
      <c r="B383" s="20" t="str">
        <f>IFERROR(_xlfn.XLOOKUP(D383,'Historias de Usuario'!C:C,'Historias de Usuario'!B:B, "Selecciona una historia"), "")</f>
        <v>Gestión de Taller de Mantención</v>
      </c>
      <c r="C383" s="21" t="str">
        <f>IFERROR(_xlfn.XLOOKUP(D383,'Historias de Usuario'!C:C,'Historias de Usuario'!D:D, "Selecciona una historia"), "")</f>
        <v>Como usuario del taller quiero crear un proveedor local para tener contactos específicos del taller</v>
      </c>
      <c r="D383" s="22" t="s">
        <v>790</v>
      </c>
      <c r="E383" s="21" t="s">
        <v>812</v>
      </c>
      <c r="F383" s="21" t="s">
        <v>794</v>
      </c>
      <c r="G383" s="10" t="s">
        <v>1193</v>
      </c>
      <c r="H383" s="22" t="s">
        <v>17</v>
      </c>
    </row>
    <row r="384" spans="2:8" ht="30" x14ac:dyDescent="0.3">
      <c r="B384" s="20" t="str">
        <f>IFERROR(_xlfn.XLOOKUP(D384,'Historias de Usuario'!C:C,'Historias de Usuario'!B:B, "Selecciona una historia"), "")</f>
        <v>Gestión de Taller de Mantención</v>
      </c>
      <c r="C384" s="21" t="str">
        <f>IFERROR(_xlfn.XLOOKUP(D384,'Historias de Usuario'!C:C,'Historias de Usuario'!D:D, "Selecciona una historia"), "")</f>
        <v>Como usuario del taller quiero crear un proveedor local para tener contactos específicos del taller</v>
      </c>
      <c r="D384" s="22" t="s">
        <v>790</v>
      </c>
      <c r="E384" s="21" t="s">
        <v>813</v>
      </c>
      <c r="F384" s="21" t="s">
        <v>793</v>
      </c>
      <c r="G384" s="10" t="s">
        <v>1193</v>
      </c>
      <c r="H384" s="22" t="s">
        <v>17</v>
      </c>
    </row>
    <row r="385" spans="2:8" ht="30" x14ac:dyDescent="0.3">
      <c r="B385" s="20" t="str">
        <f>IFERROR(_xlfn.XLOOKUP(D385,'Historias de Usuario'!C:C,'Historias de Usuario'!B:B, "Selecciona una historia"), "")</f>
        <v>Gestión de Taller de Mantención</v>
      </c>
      <c r="C385" s="21" t="str">
        <f>IFERROR(_xlfn.XLOOKUP(D385,'Historias de Usuario'!C:C,'Historias de Usuario'!D:D, "Selecciona una historia"), "")</f>
        <v>Como usuario del taller quiero crear un proveedor local para tener contactos específicos del taller</v>
      </c>
      <c r="D385" s="22" t="s">
        <v>790</v>
      </c>
      <c r="E385" s="21" t="s">
        <v>814</v>
      </c>
      <c r="F385" s="21" t="s">
        <v>366</v>
      </c>
      <c r="G385" s="10" t="s">
        <v>1193</v>
      </c>
      <c r="H385" s="22" t="s">
        <v>17</v>
      </c>
    </row>
    <row r="386" spans="2:8" ht="30" x14ac:dyDescent="0.3">
      <c r="B386" s="20" t="str">
        <f>IFERROR(_xlfn.XLOOKUP(D386,'Historias de Usuario'!C:C,'Historias de Usuario'!B:B, "Selecciona una historia"), "")</f>
        <v>Gestión de Taller de Mantención</v>
      </c>
      <c r="C386" s="21" t="str">
        <f>IFERROR(_xlfn.XLOOKUP(D386,'Historias de Usuario'!C:C,'Historias de Usuario'!D:D, "Selecciona una historia"), "")</f>
        <v>Como usuario del taller quiero crear un proveedor local para tener contactos específicos del taller</v>
      </c>
      <c r="D386" s="22" t="s">
        <v>790</v>
      </c>
      <c r="E386" s="21" t="s">
        <v>818</v>
      </c>
      <c r="F386" s="21" t="s">
        <v>795</v>
      </c>
      <c r="G386" s="10" t="s">
        <v>1193</v>
      </c>
      <c r="H386" s="22" t="s">
        <v>17</v>
      </c>
    </row>
    <row r="387" spans="2:8" ht="30" x14ac:dyDescent="0.3">
      <c r="B387" s="20" t="str">
        <f>IFERROR(_xlfn.XLOOKUP(D387,'Historias de Usuario'!C:C,'Historias de Usuario'!B:B, "Selecciona una historia"), "")</f>
        <v>Gestión de Taller de Mantención</v>
      </c>
      <c r="C387" s="21" t="str">
        <f>IFERROR(_xlfn.XLOOKUP(D387,'Historias de Usuario'!C:C,'Historias de Usuario'!D:D, "Selecciona una historia"), "")</f>
        <v>Como usuario del taller quiero crear un proveedor local para tener contactos específicos del taller</v>
      </c>
      <c r="D387" s="22" t="s">
        <v>790</v>
      </c>
      <c r="E387" s="21" t="s">
        <v>819</v>
      </c>
      <c r="F387" s="21" t="s">
        <v>152</v>
      </c>
      <c r="G387" s="10" t="s">
        <v>1193</v>
      </c>
      <c r="H387" s="22" t="s">
        <v>17</v>
      </c>
    </row>
    <row r="388" spans="2:8" ht="30" x14ac:dyDescent="0.3">
      <c r="B388" s="20" t="str">
        <f>IFERROR(_xlfn.XLOOKUP(D388,'Historias de Usuario'!C:C,'Historias de Usuario'!B:B, "Selecciona una historia"), "")</f>
        <v>Gestión de Taller de Mantención</v>
      </c>
      <c r="C388" s="21" t="str">
        <f>IFERROR(_xlfn.XLOOKUP(D388,'Historias de Usuario'!C:C,'Historias de Usuario'!D:D, "Selecciona una historia"), "")</f>
        <v>Como usuario del taller quiero crear un proveedor local para tener contactos específicos del taller</v>
      </c>
      <c r="D388" s="22" t="s">
        <v>790</v>
      </c>
      <c r="E388" s="21" t="s">
        <v>820</v>
      </c>
      <c r="F388" s="21" t="s">
        <v>796</v>
      </c>
      <c r="G388" s="10" t="s">
        <v>1193</v>
      </c>
      <c r="H388" s="22" t="s">
        <v>17</v>
      </c>
    </row>
    <row r="389" spans="2:8" ht="30" x14ac:dyDescent="0.3">
      <c r="B389" s="20" t="str">
        <f>IFERROR(_xlfn.XLOOKUP(D389,'Historias de Usuario'!C:C,'Historias de Usuario'!B:B, "Selecciona una historia"), "")</f>
        <v>Gestión de Taller de Mantención</v>
      </c>
      <c r="C389" s="21" t="str">
        <f>IFERROR(_xlfn.XLOOKUP(D389,'Historias de Usuario'!C:C,'Historias de Usuario'!D:D, "Selecciona una historia"), "")</f>
        <v>Como usuario del taller quiero crear un proveedor local para tener contactos específicos del taller</v>
      </c>
      <c r="D389" s="22" t="s">
        <v>790</v>
      </c>
      <c r="E389" s="21" t="s">
        <v>821</v>
      </c>
      <c r="F389" s="21" t="s">
        <v>154</v>
      </c>
      <c r="G389" s="10" t="s">
        <v>1193</v>
      </c>
      <c r="H389" s="22" t="s">
        <v>17</v>
      </c>
    </row>
    <row r="390" spans="2:8" ht="30" x14ac:dyDescent="0.3">
      <c r="B390" s="20" t="str">
        <f>IFERROR(_xlfn.XLOOKUP(D390,'Historias de Usuario'!C:C,'Historias de Usuario'!B:B, "Selecciona una historia"), "")</f>
        <v>Gestión de Taller de Mantención</v>
      </c>
      <c r="C390" s="21" t="str">
        <f>IFERROR(_xlfn.XLOOKUP(D390,'Historias de Usuario'!C:C,'Historias de Usuario'!D:D, "Selecciona una historia"), "")</f>
        <v>Como usuario del taller quiero crear un proveedor local para tener contactos específicos del taller</v>
      </c>
      <c r="D390" s="22" t="s">
        <v>790</v>
      </c>
      <c r="E390" s="21" t="s">
        <v>822</v>
      </c>
      <c r="F390" s="21" t="s">
        <v>192</v>
      </c>
      <c r="G390" s="10" t="s">
        <v>1193</v>
      </c>
      <c r="H390" s="22" t="s">
        <v>17</v>
      </c>
    </row>
    <row r="391" spans="2:8" ht="30" x14ac:dyDescent="0.3">
      <c r="B391" s="20" t="str">
        <f>IFERROR(_xlfn.XLOOKUP(D391,'Historias de Usuario'!C:C,'Historias de Usuario'!B:B, "Selecciona una historia"), "")</f>
        <v>Gestión de Taller de Mantención</v>
      </c>
      <c r="C391" s="21" t="str">
        <f>IFERROR(_xlfn.XLOOKUP(D391,'Historias de Usuario'!C:C,'Historias de Usuario'!D:D, "Selecciona una historia"), "")</f>
        <v>Como usuario del taller quiero gestionar proveedores del taller para mantener contactos de compra</v>
      </c>
      <c r="D391" s="22" t="s">
        <v>792</v>
      </c>
      <c r="E391" s="21" t="s">
        <v>826</v>
      </c>
      <c r="F391" s="21" t="s">
        <v>805</v>
      </c>
      <c r="G391" s="10" t="s">
        <v>1193</v>
      </c>
      <c r="H391" s="22" t="s">
        <v>17</v>
      </c>
    </row>
    <row r="392" spans="2:8" ht="30" x14ac:dyDescent="0.3">
      <c r="B392" s="20" t="str">
        <f>IFERROR(_xlfn.XLOOKUP(D392,'Historias de Usuario'!C:C,'Historias de Usuario'!B:B, "Selecciona una historia"), "")</f>
        <v>Gestión de Taller de Mantención</v>
      </c>
      <c r="C392" s="21" t="str">
        <f>IFERROR(_xlfn.XLOOKUP(D392,'Historias de Usuario'!C:C,'Historias de Usuario'!D:D, "Selecciona una historia"), "")</f>
        <v>Como usuario del taller quiero gestionar proveedores del taller para mantener contactos de compra</v>
      </c>
      <c r="D392" s="22" t="s">
        <v>792</v>
      </c>
      <c r="E392" s="21" t="s">
        <v>827</v>
      </c>
      <c r="F392" s="21" t="s">
        <v>806</v>
      </c>
      <c r="G392" s="10" t="s">
        <v>1193</v>
      </c>
      <c r="H392" s="22" t="s">
        <v>17</v>
      </c>
    </row>
    <row r="393" spans="2:8" ht="30" x14ac:dyDescent="0.3">
      <c r="B393" s="20" t="str">
        <f>IFERROR(_xlfn.XLOOKUP(D393,'Historias de Usuario'!C:C,'Historias de Usuario'!B:B, "Selecciona una historia"), "")</f>
        <v>Gestión de Taller de Mantención</v>
      </c>
      <c r="C393" s="21" t="str">
        <f>IFERROR(_xlfn.XLOOKUP(D393,'Historias de Usuario'!C:C,'Historias de Usuario'!D:D, "Selecciona una historia"), "")</f>
        <v>Como usuario del taller quiero gestionar proveedores del taller para mantener contactos de compra</v>
      </c>
      <c r="D393" s="22" t="s">
        <v>792</v>
      </c>
      <c r="E393" s="21" t="s">
        <v>828</v>
      </c>
      <c r="F393" s="21" t="s">
        <v>807</v>
      </c>
      <c r="G393" s="10" t="s">
        <v>1193</v>
      </c>
      <c r="H393" s="22" t="s">
        <v>17</v>
      </c>
    </row>
    <row r="394" spans="2:8" ht="30" x14ac:dyDescent="0.3">
      <c r="B394" s="20" t="str">
        <f>IFERROR(_xlfn.XLOOKUP(D394,'Historias de Usuario'!C:C,'Historias de Usuario'!B:B, "Selecciona una historia"), "")</f>
        <v>Gestión de Taller de Mantención</v>
      </c>
      <c r="C394" s="21" t="str">
        <f>IFERROR(_xlfn.XLOOKUP(D394,'Historias de Usuario'!C:C,'Historias de Usuario'!D:D, "Selecciona una historia"), "")</f>
        <v>Como usuario del taller quiero gestionar proveedores del taller para mantener contactos de compra</v>
      </c>
      <c r="D394" s="22" t="s">
        <v>792</v>
      </c>
      <c r="E394" s="21" t="s">
        <v>836</v>
      </c>
      <c r="F394" s="21" t="s">
        <v>808</v>
      </c>
      <c r="G394" s="10" t="s">
        <v>1193</v>
      </c>
      <c r="H394" s="22" t="s">
        <v>17</v>
      </c>
    </row>
    <row r="395" spans="2:8" ht="30" x14ac:dyDescent="0.3">
      <c r="B395" s="20" t="str">
        <f>IFERROR(_xlfn.XLOOKUP(D395,'Historias de Usuario'!C:C,'Historias de Usuario'!B:B, "Selecciona una historia"), "")</f>
        <v>Gestión de Taller de Mantención</v>
      </c>
      <c r="C395" s="21" t="str">
        <f>IFERROR(_xlfn.XLOOKUP(D395,'Historias de Usuario'!C:C,'Historias de Usuario'!D:D, "Selecciona una historia"), "")</f>
        <v>Como usuario del taller quiero gestionar proveedores del taller para mantener contactos de compra</v>
      </c>
      <c r="D395" s="22" t="s">
        <v>792</v>
      </c>
      <c r="E395" s="21" t="s">
        <v>837</v>
      </c>
      <c r="F395" s="21" t="s">
        <v>809</v>
      </c>
      <c r="G395" s="10" t="s">
        <v>1193</v>
      </c>
      <c r="H395" s="22" t="s">
        <v>17</v>
      </c>
    </row>
    <row r="396" spans="2:8" ht="30" x14ac:dyDescent="0.3">
      <c r="B396" s="20" t="str">
        <f>IFERROR(_xlfn.XLOOKUP(D396,'Historias de Usuario'!C:C,'Historias de Usuario'!B:B, "Selecciona una historia"), "")</f>
        <v>Gestión de Taller de Mantención</v>
      </c>
      <c r="C396" s="21" t="str">
        <f>IFERROR(_xlfn.XLOOKUP(D396,'Historias de Usuario'!C:C,'Historias de Usuario'!D:D, "Selecciona una historia"), "")</f>
        <v>Como usuario del taller quiero editar un proveedor local para actualizar sus datos</v>
      </c>
      <c r="D396" s="22" t="s">
        <v>816</v>
      </c>
      <c r="E396" s="21" t="s">
        <v>838</v>
      </c>
      <c r="F396" s="21" t="s">
        <v>298</v>
      </c>
      <c r="G396" s="10" t="s">
        <v>1193</v>
      </c>
      <c r="H396" s="22" t="s">
        <v>17</v>
      </c>
    </row>
    <row r="397" spans="2:8" ht="30" x14ac:dyDescent="0.3">
      <c r="B397" s="20" t="str">
        <f>IFERROR(_xlfn.XLOOKUP(D397,'Historias de Usuario'!C:C,'Historias de Usuario'!B:B, "Selecciona una historia"), "")</f>
        <v>Gestión de Taller de Mantención</v>
      </c>
      <c r="C397" s="21" t="str">
        <f>IFERROR(_xlfn.XLOOKUP(D397,'Historias de Usuario'!C:C,'Historias de Usuario'!D:D, "Selecciona una historia"), "")</f>
        <v>Como usuario del taller quiero editar un proveedor local para actualizar sus datos</v>
      </c>
      <c r="D397" s="22" t="s">
        <v>816</v>
      </c>
      <c r="E397" s="21" t="s">
        <v>839</v>
      </c>
      <c r="F397" s="21" t="s">
        <v>168</v>
      </c>
      <c r="G397" s="10" t="s">
        <v>1193</v>
      </c>
      <c r="H397" s="22" t="s">
        <v>17</v>
      </c>
    </row>
    <row r="398" spans="2:8" ht="30" x14ac:dyDescent="0.3">
      <c r="B398" s="20" t="str">
        <f>IFERROR(_xlfn.XLOOKUP(D398,'Historias de Usuario'!C:C,'Historias de Usuario'!B:B, "Selecciona una historia"), "")</f>
        <v>Gestión de Taller de Mantención</v>
      </c>
      <c r="C398" s="21" t="str">
        <f>IFERROR(_xlfn.XLOOKUP(D398,'Historias de Usuario'!C:C,'Historias de Usuario'!D:D, "Selecciona una historia"), "")</f>
        <v>Como usuario del taller quiero editar un proveedor local para actualizar sus datos</v>
      </c>
      <c r="D398" s="22" t="s">
        <v>816</v>
      </c>
      <c r="E398" s="21" t="s">
        <v>840</v>
      </c>
      <c r="F398" s="21" t="s">
        <v>817</v>
      </c>
      <c r="G398" s="10" t="s">
        <v>1193</v>
      </c>
      <c r="H398" s="22" t="s">
        <v>17</v>
      </c>
    </row>
    <row r="399" spans="2:8" ht="30" x14ac:dyDescent="0.3">
      <c r="B399" s="20" t="str">
        <f>IFERROR(_xlfn.XLOOKUP(D399,'Historias de Usuario'!C:C,'Historias de Usuario'!B:B, "Selecciona una historia"), "")</f>
        <v>Gestión de Taller de Mantención</v>
      </c>
      <c r="C399" s="21" t="str">
        <f>IFERROR(_xlfn.XLOOKUP(D399,'Historias de Usuario'!C:C,'Historias de Usuario'!D:D, "Selecciona una historia"), "")</f>
        <v>Como usuario del taller quiero editar un proveedor local para actualizar sus datos</v>
      </c>
      <c r="D399" s="22" t="s">
        <v>816</v>
      </c>
      <c r="E399" s="21" t="s">
        <v>841</v>
      </c>
      <c r="F399" s="21" t="s">
        <v>259</v>
      </c>
      <c r="G399" s="10" t="s">
        <v>1193</v>
      </c>
      <c r="H399" s="22" t="s">
        <v>17</v>
      </c>
    </row>
    <row r="400" spans="2:8" ht="30" x14ac:dyDescent="0.3">
      <c r="B400" s="20" t="str">
        <f>IFERROR(_xlfn.XLOOKUP(D400,'Historias de Usuario'!C:C,'Historias de Usuario'!B:B, "Selecciona una historia"), "")</f>
        <v>Gestión de Taller de Mantención</v>
      </c>
      <c r="C400" s="21" t="str">
        <f>IFERROR(_xlfn.XLOOKUP(D400,'Historias de Usuario'!C:C,'Historias de Usuario'!D:D, "Selecciona una historia"), "")</f>
        <v>Como usuario del taller quiero editar un proveedor local para actualizar sus datos</v>
      </c>
      <c r="D400" s="22" t="s">
        <v>816</v>
      </c>
      <c r="E400" s="21" t="s">
        <v>847</v>
      </c>
      <c r="F400" s="21" t="s">
        <v>171</v>
      </c>
      <c r="G400" s="10" t="s">
        <v>1193</v>
      </c>
      <c r="H400" s="22" t="s">
        <v>17</v>
      </c>
    </row>
    <row r="401" spans="2:8" ht="30" x14ac:dyDescent="0.3">
      <c r="B401" s="18" t="str">
        <f>IFERROR(_xlfn.XLOOKUP(D401,'Historias de Usuario'!C:C,'Historias de Usuario'!B:B, "Selecciona una historia"), "")</f>
        <v>Gestión de Taller de Mantención</v>
      </c>
      <c r="C401" s="10" t="str">
        <f>IFERROR(_xlfn.XLOOKUP(D401,'Historias de Usuario'!C:C,'Historias de Usuario'!D:D, "Selecciona una historia"), "")</f>
        <v>Como Admin Taller quiero eliminar un proveedor local para mantener solo proveedores activos</v>
      </c>
      <c r="D401" s="9" t="s">
        <v>824</v>
      </c>
      <c r="E401" s="21" t="s">
        <v>848</v>
      </c>
      <c r="F401" s="10" t="s">
        <v>313</v>
      </c>
      <c r="G401" s="10" t="s">
        <v>1193</v>
      </c>
      <c r="H401" s="9" t="s">
        <v>17</v>
      </c>
    </row>
    <row r="402" spans="2:8" ht="30" x14ac:dyDescent="0.3">
      <c r="B402" s="20" t="str">
        <f>IFERROR(_xlfn.XLOOKUP(D402,'Historias de Usuario'!C:C,'Historias de Usuario'!B:B, "Selecciona una historia"), "")</f>
        <v>Gestión de Taller de Mantención</v>
      </c>
      <c r="C402" s="21" t="str">
        <f>IFERROR(_xlfn.XLOOKUP(D402,'Historias de Usuario'!C:C,'Historias de Usuario'!D:D, "Selecciona una historia"), "")</f>
        <v>Como Admin Taller quiero eliminar un proveedor local para mantener solo proveedores activos</v>
      </c>
      <c r="D402" s="9" t="s">
        <v>824</v>
      </c>
      <c r="E402" s="21" t="s">
        <v>849</v>
      </c>
      <c r="F402" s="21" t="s">
        <v>825</v>
      </c>
      <c r="G402" s="10" t="s">
        <v>1193</v>
      </c>
      <c r="H402" s="22" t="s">
        <v>17</v>
      </c>
    </row>
    <row r="403" spans="2:8" ht="30" x14ac:dyDescent="0.3">
      <c r="B403" s="20" t="str">
        <f>IFERROR(_xlfn.XLOOKUP(D403,'Historias de Usuario'!C:C,'Historias de Usuario'!B:B, "Selecciona una historia"), "")</f>
        <v>Gestión de Taller de Mantención</v>
      </c>
      <c r="C403" s="21" t="str">
        <f>IFERROR(_xlfn.XLOOKUP(D403,'Historias de Usuario'!C:C,'Historias de Usuario'!D:D, "Selecciona una historia"), "")</f>
        <v>Como Admin Taller quiero eliminar un proveedor local para mantener solo proveedores activos</v>
      </c>
      <c r="D403" s="9" t="s">
        <v>824</v>
      </c>
      <c r="E403" s="21" t="s">
        <v>850</v>
      </c>
      <c r="F403" s="21" t="s">
        <v>266</v>
      </c>
      <c r="G403" s="10" t="s">
        <v>1193</v>
      </c>
      <c r="H403" s="22" t="s">
        <v>17</v>
      </c>
    </row>
    <row r="404" spans="2:8" ht="30" x14ac:dyDescent="0.3">
      <c r="B404" s="20" t="str">
        <f>IFERROR(_xlfn.XLOOKUP(D404,'Historias de Usuario'!C:C,'Historias de Usuario'!B:B, "Selecciona una historia"), "")</f>
        <v>Gestión de Taller de Mantención</v>
      </c>
      <c r="C404" s="21" t="str">
        <f>IFERROR(_xlfn.XLOOKUP(D404,'Historias de Usuario'!C:C,'Historias de Usuario'!D:D, "Selecciona una historia"), "")</f>
        <v>Como Admin Taller quiero gestionar los empleados del taller para controlar el personal</v>
      </c>
      <c r="D404" s="22" t="s">
        <v>829</v>
      </c>
      <c r="E404" s="21" t="s">
        <v>851</v>
      </c>
      <c r="F404" s="21" t="s">
        <v>831</v>
      </c>
      <c r="G404" s="10" t="s">
        <v>1193</v>
      </c>
      <c r="H404" s="22" t="s">
        <v>17</v>
      </c>
    </row>
    <row r="405" spans="2:8" ht="30" x14ac:dyDescent="0.3">
      <c r="B405" s="20" t="str">
        <f>IFERROR(_xlfn.XLOOKUP(D405,'Historias de Usuario'!C:C,'Historias de Usuario'!B:B, "Selecciona una historia"), "")</f>
        <v>Gestión de Taller de Mantención</v>
      </c>
      <c r="C405" s="21" t="str">
        <f>IFERROR(_xlfn.XLOOKUP(D405,'Historias de Usuario'!C:C,'Historias de Usuario'!D:D, "Selecciona una historia"), "")</f>
        <v>Como Admin Taller quiero gestionar los empleados del taller para controlar el personal</v>
      </c>
      <c r="D405" s="22" t="s">
        <v>829</v>
      </c>
      <c r="E405" s="21" t="s">
        <v>852</v>
      </c>
      <c r="F405" s="21" t="s">
        <v>832</v>
      </c>
      <c r="G405" s="10" t="s">
        <v>1193</v>
      </c>
      <c r="H405" s="22" t="s">
        <v>17</v>
      </c>
    </row>
    <row r="406" spans="2:8" ht="30" x14ac:dyDescent="0.3">
      <c r="B406" s="20" t="str">
        <f>IFERROR(_xlfn.XLOOKUP(D406,'Historias de Usuario'!C:C,'Historias de Usuario'!B:B, "Selecciona una historia"), "")</f>
        <v>Gestión de Taller de Mantención</v>
      </c>
      <c r="C406" s="21" t="str">
        <f>IFERROR(_xlfn.XLOOKUP(D406,'Historias de Usuario'!C:C,'Historias de Usuario'!D:D, "Selecciona una historia"), "")</f>
        <v>Como Admin Taller quiero gestionar los empleados del taller para controlar el personal</v>
      </c>
      <c r="D406" s="22" t="s">
        <v>829</v>
      </c>
      <c r="E406" s="21" t="s">
        <v>853</v>
      </c>
      <c r="F406" s="21" t="s">
        <v>833</v>
      </c>
      <c r="G406" s="10" t="s">
        <v>1193</v>
      </c>
      <c r="H406" s="22" t="s">
        <v>17</v>
      </c>
    </row>
    <row r="407" spans="2:8" ht="30" x14ac:dyDescent="0.3">
      <c r="B407" s="20" t="str">
        <f>IFERROR(_xlfn.XLOOKUP(D407,'Historias de Usuario'!C:C,'Historias de Usuario'!B:B, "Selecciona una historia"), "")</f>
        <v>Gestión de Taller de Mantención</v>
      </c>
      <c r="C407" s="21" t="str">
        <f>IFERROR(_xlfn.XLOOKUP(D407,'Historias de Usuario'!C:C,'Historias de Usuario'!D:D, "Selecciona una historia"), "")</f>
        <v>Como Admin Taller quiero gestionar los empleados del taller para controlar el personal</v>
      </c>
      <c r="D407" s="22" t="s">
        <v>829</v>
      </c>
      <c r="E407" s="21" t="s">
        <v>854</v>
      </c>
      <c r="F407" s="21" t="s">
        <v>312</v>
      </c>
      <c r="G407" s="10" t="s">
        <v>1193</v>
      </c>
      <c r="H407" s="22" t="s">
        <v>17</v>
      </c>
    </row>
    <row r="408" spans="2:8" ht="30" x14ac:dyDescent="0.3">
      <c r="B408" s="20" t="str">
        <f>IFERROR(_xlfn.XLOOKUP(D408,'Historias de Usuario'!C:C,'Historias de Usuario'!B:B, "Selecciona una historia"), "")</f>
        <v>Gestión de Taller de Mantención</v>
      </c>
      <c r="C408" s="21" t="str">
        <f>IFERROR(_xlfn.XLOOKUP(D408,'Historias de Usuario'!C:C,'Historias de Usuario'!D:D, "Selecciona una historia"), "")</f>
        <v>Como Admin Taller quiero gestionar los empleados del taller para controlar el personal</v>
      </c>
      <c r="D408" s="22" t="s">
        <v>829</v>
      </c>
      <c r="E408" s="21" t="s">
        <v>855</v>
      </c>
      <c r="F408" s="21" t="s">
        <v>834</v>
      </c>
      <c r="G408" s="10" t="s">
        <v>1193</v>
      </c>
      <c r="H408" s="22" t="s">
        <v>17</v>
      </c>
    </row>
    <row r="409" spans="2:8" ht="30" x14ac:dyDescent="0.3">
      <c r="B409" s="20" t="str">
        <f>IFERROR(_xlfn.XLOOKUP(D409,'Historias de Usuario'!C:C,'Historias de Usuario'!B:B, "Selecciona una historia"), "")</f>
        <v>Gestión de Taller de Mantención</v>
      </c>
      <c r="C409" s="21" t="str">
        <f>IFERROR(_xlfn.XLOOKUP(D409,'Historias de Usuario'!C:C,'Historias de Usuario'!D:D, "Selecciona una historia"), "")</f>
        <v>Como Admin Taller quiero gestionar los empleados del taller para controlar el personal</v>
      </c>
      <c r="D409" s="22" t="s">
        <v>829</v>
      </c>
      <c r="E409" s="21" t="s">
        <v>856</v>
      </c>
      <c r="F409" s="21" t="s">
        <v>835</v>
      </c>
      <c r="G409" s="10" t="s">
        <v>1193</v>
      </c>
      <c r="H409" s="22" t="s">
        <v>17</v>
      </c>
    </row>
    <row r="410" spans="2:8" ht="30" x14ac:dyDescent="0.3">
      <c r="B410" s="20" t="str">
        <f>IFERROR(_xlfn.XLOOKUP(D410,'Historias de Usuario'!C:C,'Historias de Usuario'!B:B, "Selecciona una historia"), "")</f>
        <v>Gestión de Taller de Mantención</v>
      </c>
      <c r="C410" s="21" t="str">
        <f>IFERROR(_xlfn.XLOOKUP(D410,'Historias de Usuario'!C:C,'Historias de Usuario'!D:D, "Selecciona una historia"), "")</f>
        <v>Como Admin Taller quiero crear un nuevo empleado para dar acceso a mécanicos y administradores</v>
      </c>
      <c r="D410" s="22" t="s">
        <v>843</v>
      </c>
      <c r="E410" s="21" t="s">
        <v>857</v>
      </c>
      <c r="F410" s="21" t="s">
        <v>844</v>
      </c>
      <c r="G410" s="10" t="s">
        <v>1193</v>
      </c>
      <c r="H410" s="22" t="s">
        <v>17</v>
      </c>
    </row>
    <row r="411" spans="2:8" ht="30" x14ac:dyDescent="0.3">
      <c r="B411" s="20" t="str">
        <f>IFERROR(_xlfn.XLOOKUP(D411,'Historias de Usuario'!C:C,'Historias de Usuario'!B:B, "Selecciona una historia"), "")</f>
        <v>Gestión de Taller de Mantención</v>
      </c>
      <c r="C411" s="21" t="str">
        <f>IFERROR(_xlfn.XLOOKUP(D411,'Historias de Usuario'!C:C,'Historias de Usuario'!D:D, "Selecciona una historia"), "")</f>
        <v>Como Admin Taller quiero crear un nuevo empleado para dar acceso a mécanicos y administradores</v>
      </c>
      <c r="D411" s="22" t="s">
        <v>843</v>
      </c>
      <c r="E411" s="21" t="s">
        <v>858</v>
      </c>
      <c r="F411" s="21" t="s">
        <v>361</v>
      </c>
      <c r="G411" s="10" t="s">
        <v>1193</v>
      </c>
      <c r="H411" s="22" t="s">
        <v>17</v>
      </c>
    </row>
    <row r="412" spans="2:8" ht="30" x14ac:dyDescent="0.3">
      <c r="B412" s="20" t="str">
        <f>IFERROR(_xlfn.XLOOKUP(D412,'Historias de Usuario'!C:C,'Historias de Usuario'!B:B, "Selecciona una historia"), "")</f>
        <v>Gestión de Taller de Mantención</v>
      </c>
      <c r="C412" s="21" t="str">
        <f>IFERROR(_xlfn.XLOOKUP(D412,'Historias de Usuario'!C:C,'Historias de Usuario'!D:D, "Selecciona una historia"), "")</f>
        <v>Como Admin Taller quiero crear un nuevo empleado para dar acceso a mécanicos y administradores</v>
      </c>
      <c r="D412" s="22" t="s">
        <v>843</v>
      </c>
      <c r="E412" s="21" t="s">
        <v>859</v>
      </c>
      <c r="F412" s="21" t="s">
        <v>362</v>
      </c>
      <c r="G412" s="10" t="s">
        <v>1193</v>
      </c>
      <c r="H412" s="22" t="s">
        <v>17</v>
      </c>
    </row>
    <row r="413" spans="2:8" ht="30" x14ac:dyDescent="0.3">
      <c r="B413" s="20" t="str">
        <f>IFERROR(_xlfn.XLOOKUP(D413,'Historias de Usuario'!C:C,'Historias de Usuario'!B:B, "Selecciona una historia"), "")</f>
        <v>Gestión de Taller de Mantención</v>
      </c>
      <c r="C413" s="21" t="str">
        <f>IFERROR(_xlfn.XLOOKUP(D413,'Historias de Usuario'!C:C,'Historias de Usuario'!D:D, "Selecciona una historia"), "")</f>
        <v>Como Admin Taller quiero crear un nuevo empleado para dar acceso a mécanicos y administradores</v>
      </c>
      <c r="D413" s="22" t="s">
        <v>843</v>
      </c>
      <c r="E413" s="21" t="s">
        <v>860</v>
      </c>
      <c r="F413" s="21" t="s">
        <v>363</v>
      </c>
      <c r="G413" s="10" t="s">
        <v>1193</v>
      </c>
      <c r="H413" s="22" t="s">
        <v>17</v>
      </c>
    </row>
    <row r="414" spans="2:8" ht="30" x14ac:dyDescent="0.3">
      <c r="B414" s="20" t="str">
        <f>IFERROR(_xlfn.XLOOKUP(D414,'Historias de Usuario'!C:C,'Historias de Usuario'!B:B, "Selecciona una historia"), "")</f>
        <v>Gestión de Taller de Mantención</v>
      </c>
      <c r="C414" s="21" t="str">
        <f>IFERROR(_xlfn.XLOOKUP(D414,'Historias de Usuario'!C:C,'Historias de Usuario'!D:D, "Selecciona una historia"), "")</f>
        <v>Como Admin Taller quiero crear un nuevo empleado para dar acceso a mécanicos y administradores</v>
      </c>
      <c r="D414" s="22" t="s">
        <v>843</v>
      </c>
      <c r="E414" s="21" t="s">
        <v>865</v>
      </c>
      <c r="F414" s="21" t="s">
        <v>364</v>
      </c>
      <c r="G414" s="10" t="s">
        <v>1193</v>
      </c>
      <c r="H414" s="22" t="s">
        <v>17</v>
      </c>
    </row>
    <row r="415" spans="2:8" ht="30" x14ac:dyDescent="0.3">
      <c r="B415" s="20" t="str">
        <f>IFERROR(_xlfn.XLOOKUP(D415,'Historias de Usuario'!C:C,'Historias de Usuario'!B:B, "Selecciona una historia"), "")</f>
        <v>Gestión de Taller de Mantención</v>
      </c>
      <c r="C415" s="21" t="str">
        <f>IFERROR(_xlfn.XLOOKUP(D415,'Historias de Usuario'!C:C,'Historias de Usuario'!D:D, "Selecciona una historia"), "")</f>
        <v>Como Admin Taller quiero crear un nuevo empleado para dar acceso a mécanicos y administradores</v>
      </c>
      <c r="D415" s="22" t="s">
        <v>843</v>
      </c>
      <c r="E415" s="21" t="s">
        <v>866</v>
      </c>
      <c r="F415" s="21" t="s">
        <v>365</v>
      </c>
      <c r="G415" s="10" t="s">
        <v>1193</v>
      </c>
      <c r="H415" s="22" t="s">
        <v>17</v>
      </c>
    </row>
    <row r="416" spans="2:8" ht="30" x14ac:dyDescent="0.3">
      <c r="B416" s="20" t="str">
        <f>IFERROR(_xlfn.XLOOKUP(D416,'Historias de Usuario'!C:C,'Historias de Usuario'!B:B, "Selecciona una historia"), "")</f>
        <v>Gestión de Taller de Mantención</v>
      </c>
      <c r="C416" s="21" t="str">
        <f>IFERROR(_xlfn.XLOOKUP(D416,'Historias de Usuario'!C:C,'Historias de Usuario'!D:D, "Selecciona una historia"), "")</f>
        <v>Como Admin Taller quiero crear un nuevo empleado para dar acceso a mécanicos y administradores</v>
      </c>
      <c r="D416" s="22" t="s">
        <v>843</v>
      </c>
      <c r="E416" s="21" t="s">
        <v>867</v>
      </c>
      <c r="F416" s="21" t="s">
        <v>366</v>
      </c>
      <c r="G416" s="10" t="s">
        <v>1193</v>
      </c>
      <c r="H416" s="22" t="s">
        <v>17</v>
      </c>
    </row>
    <row r="417" spans="2:8" ht="30" x14ac:dyDescent="0.3">
      <c r="B417" s="20" t="str">
        <f>IFERROR(_xlfn.XLOOKUP(D417,'Historias de Usuario'!C:C,'Historias de Usuario'!B:B, "Selecciona una historia"), "")</f>
        <v>Gestión de Taller de Mantención</v>
      </c>
      <c r="C417" s="21" t="str">
        <f>IFERROR(_xlfn.XLOOKUP(D417,'Historias de Usuario'!C:C,'Historias de Usuario'!D:D, "Selecciona una historia"), "")</f>
        <v>Como Admin Taller quiero crear un nuevo empleado para dar acceso a mécanicos y administradores</v>
      </c>
      <c r="D417" s="22" t="s">
        <v>843</v>
      </c>
      <c r="E417" s="21" t="s">
        <v>868</v>
      </c>
      <c r="F417" s="21" t="s">
        <v>152</v>
      </c>
      <c r="G417" s="10" t="s">
        <v>1193</v>
      </c>
      <c r="H417" s="22" t="s">
        <v>17</v>
      </c>
    </row>
    <row r="418" spans="2:8" ht="30" x14ac:dyDescent="0.3">
      <c r="B418" s="20" t="str">
        <f>IFERROR(_xlfn.XLOOKUP(D418,'Historias de Usuario'!C:C,'Historias de Usuario'!B:B, "Selecciona una historia"), "")</f>
        <v>Gestión de Taller de Mantención</v>
      </c>
      <c r="C418" s="21" t="str">
        <f>IFERROR(_xlfn.XLOOKUP(D418,'Historias de Usuario'!C:C,'Historias de Usuario'!D:D, "Selecciona una historia"), "")</f>
        <v>Como Admin Taller quiero crear un nuevo empleado para dar acceso a mécanicos y administradores</v>
      </c>
      <c r="D418" s="22" t="s">
        <v>843</v>
      </c>
      <c r="E418" s="21" t="s">
        <v>869</v>
      </c>
      <c r="F418" s="21" t="s">
        <v>845</v>
      </c>
      <c r="G418" s="10" t="s">
        <v>1193</v>
      </c>
      <c r="H418" s="22" t="s">
        <v>17</v>
      </c>
    </row>
    <row r="419" spans="2:8" ht="30" x14ac:dyDescent="0.3">
      <c r="B419" s="20" t="str">
        <f>IFERROR(_xlfn.XLOOKUP(D419,'Historias de Usuario'!C:C,'Historias de Usuario'!B:B, "Selecciona una historia"), "")</f>
        <v>Gestión de Taller de Mantención</v>
      </c>
      <c r="C419" s="21" t="str">
        <f>IFERROR(_xlfn.XLOOKUP(D419,'Historias de Usuario'!C:C,'Historias de Usuario'!D:D, "Selecciona una historia"), "")</f>
        <v>Como Admin Taller quiero crear un nuevo empleado para dar acceso a mécanicos y administradores</v>
      </c>
      <c r="D419" s="22" t="s">
        <v>843</v>
      </c>
      <c r="E419" s="21" t="s">
        <v>870</v>
      </c>
      <c r="F419" s="21" t="s">
        <v>846</v>
      </c>
      <c r="G419" s="10" t="s">
        <v>1193</v>
      </c>
      <c r="H419" s="22" t="s">
        <v>17</v>
      </c>
    </row>
    <row r="420" spans="2:8" ht="30" x14ac:dyDescent="0.3">
      <c r="B420" s="20" t="str">
        <f>IFERROR(_xlfn.XLOOKUP(D420,'Historias de Usuario'!C:C,'Historias de Usuario'!B:B, "Selecciona una historia"), "")</f>
        <v>Gestión de Taller de Mantención</v>
      </c>
      <c r="C420" s="21" t="str">
        <f>IFERROR(_xlfn.XLOOKUP(D420,'Historias de Usuario'!C:C,'Historias de Usuario'!D:D, "Selecciona una historia"), "")</f>
        <v>Como Admin Taller quiero crear un nuevo empleado para dar acceso a mécanicos y administradores</v>
      </c>
      <c r="D420" s="22" t="s">
        <v>843</v>
      </c>
      <c r="E420" s="21" t="s">
        <v>876</v>
      </c>
      <c r="F420" s="21" t="s">
        <v>372</v>
      </c>
      <c r="G420" s="10" t="s">
        <v>1193</v>
      </c>
      <c r="H420" s="22" t="s">
        <v>17</v>
      </c>
    </row>
    <row r="421" spans="2:8" ht="30" x14ac:dyDescent="0.3">
      <c r="B421" s="20" t="str">
        <f>IFERROR(_xlfn.XLOOKUP(D421,'Historias de Usuario'!C:C,'Historias de Usuario'!B:B, "Selecciona una historia"), "")</f>
        <v>Gestión de Taller de Mantención</v>
      </c>
      <c r="C421" s="21" t="str">
        <f>IFERROR(_xlfn.XLOOKUP(D421,'Historias de Usuario'!C:C,'Historias de Usuario'!D:D, "Selecciona una historia"), "")</f>
        <v>Como Admin Taller quiero crear un nuevo empleado para dar acceso a mécanicos y administradores</v>
      </c>
      <c r="D421" s="22" t="s">
        <v>843</v>
      </c>
      <c r="E421" s="21" t="s">
        <v>877</v>
      </c>
      <c r="F421" s="21" t="s">
        <v>832</v>
      </c>
      <c r="G421" s="10" t="s">
        <v>1193</v>
      </c>
      <c r="H421" s="22" t="s">
        <v>17</v>
      </c>
    </row>
    <row r="422" spans="2:8" ht="30" x14ac:dyDescent="0.3">
      <c r="B422" s="20" t="str">
        <f>IFERROR(_xlfn.XLOOKUP(D422,'Historias de Usuario'!C:C,'Historias de Usuario'!B:B, "Selecciona una historia"), "")</f>
        <v>Gestión de Taller de Mantención</v>
      </c>
      <c r="C422" s="21" t="str">
        <f>IFERROR(_xlfn.XLOOKUP(D422,'Historias de Usuario'!C:C,'Historias de Usuario'!D:D, "Selecciona una historia"), "")</f>
        <v>Como Admin Taller quiero crear un nuevo empleado para dar acceso a mécanicos y administradores</v>
      </c>
      <c r="D422" s="22" t="s">
        <v>843</v>
      </c>
      <c r="E422" s="21" t="s">
        <v>878</v>
      </c>
      <c r="F422" s="21" t="s">
        <v>374</v>
      </c>
      <c r="G422" s="10" t="s">
        <v>1193</v>
      </c>
      <c r="H422" s="22" t="s">
        <v>17</v>
      </c>
    </row>
    <row r="423" spans="2:8" ht="30" x14ac:dyDescent="0.3">
      <c r="B423" s="20" t="str">
        <f>IFERROR(_xlfn.XLOOKUP(D423,'Historias de Usuario'!C:C,'Historias de Usuario'!B:B, "Selecciona una historia"), "")</f>
        <v>Gestión de Taller de Mantención</v>
      </c>
      <c r="C423" s="21" t="str">
        <f>IFERROR(_xlfn.XLOOKUP(D423,'Historias de Usuario'!C:C,'Historias de Usuario'!D:D, "Selecciona una historia"), "")</f>
        <v>Como Admin Taller quiero crear un nuevo empleado para dar acceso a mécanicos y administradores</v>
      </c>
      <c r="D423" s="22" t="s">
        <v>843</v>
      </c>
      <c r="E423" s="21" t="s">
        <v>889</v>
      </c>
      <c r="F423" s="21" t="s">
        <v>192</v>
      </c>
      <c r="G423" s="10" t="s">
        <v>1193</v>
      </c>
      <c r="H423" s="22" t="s">
        <v>17</v>
      </c>
    </row>
    <row r="424" spans="2:8" ht="30" x14ac:dyDescent="0.3">
      <c r="B424" s="20" t="str">
        <f>IFERROR(_xlfn.XLOOKUP(D424,'Historias de Usuario'!C:C,'Historias de Usuario'!B:B, "Selecciona una historia"), "")</f>
        <v>Gestión de Taller de Mantención</v>
      </c>
      <c r="C424" s="21" t="str">
        <f>IFERROR(_xlfn.XLOOKUP(D424,'Historias de Usuario'!C:C,'Historias de Usuario'!D:D, "Selecciona una historia"), "")</f>
        <v>Como Admin Taller quiero editar información de un empleado para actualizar sus datos o cambiar su rol</v>
      </c>
      <c r="D424" s="22" t="s">
        <v>862</v>
      </c>
      <c r="E424" s="21" t="s">
        <v>890</v>
      </c>
      <c r="F424" s="21" t="s">
        <v>863</v>
      </c>
      <c r="G424" s="10" t="s">
        <v>1193</v>
      </c>
      <c r="H424" s="22" t="s">
        <v>17</v>
      </c>
    </row>
    <row r="425" spans="2:8" ht="30" x14ac:dyDescent="0.3">
      <c r="B425" s="20" t="str">
        <f>IFERROR(_xlfn.XLOOKUP(D425,'Historias de Usuario'!C:C,'Historias de Usuario'!B:B, "Selecciona una historia"), "")</f>
        <v>Gestión de Taller de Mantención</v>
      </c>
      <c r="C425" s="21" t="str">
        <f>IFERROR(_xlfn.XLOOKUP(D425,'Historias de Usuario'!C:C,'Historias de Usuario'!D:D, "Selecciona una historia"), "")</f>
        <v>Como Admin Taller quiero editar información de un empleado para actualizar sus datos o cambiar su rol</v>
      </c>
      <c r="D425" s="22" t="s">
        <v>862</v>
      </c>
      <c r="E425" s="21" t="s">
        <v>891</v>
      </c>
      <c r="F425" s="21" t="s">
        <v>864</v>
      </c>
      <c r="G425" s="10" t="s">
        <v>1193</v>
      </c>
      <c r="H425" s="22" t="s">
        <v>17</v>
      </c>
    </row>
    <row r="426" spans="2:8" ht="30" x14ac:dyDescent="0.3">
      <c r="B426" s="20" t="str">
        <f>IFERROR(_xlfn.XLOOKUP(D426,'Historias de Usuario'!C:C,'Historias de Usuario'!B:B, "Selecciona una historia"), "")</f>
        <v>Gestión de Taller de Mantención</v>
      </c>
      <c r="C426" s="21" t="str">
        <f>IFERROR(_xlfn.XLOOKUP(D426,'Historias de Usuario'!C:C,'Historias de Usuario'!D:D, "Selecciona una historia"), "")</f>
        <v>Como Admin Taller quiero editar información de un empleado para actualizar sus datos o cambiar su rol</v>
      </c>
      <c r="D426" s="22" t="s">
        <v>862</v>
      </c>
      <c r="E426" s="21" t="s">
        <v>892</v>
      </c>
      <c r="F426" s="21" t="s">
        <v>396</v>
      </c>
      <c r="G426" s="10" t="s">
        <v>1193</v>
      </c>
      <c r="H426" s="22" t="s">
        <v>17</v>
      </c>
    </row>
    <row r="427" spans="2:8" ht="30" x14ac:dyDescent="0.3">
      <c r="B427" s="20" t="str">
        <f>IFERROR(_xlfn.XLOOKUP(D427,'Historias de Usuario'!C:C,'Historias de Usuario'!B:B, "Selecciona una historia"), "")</f>
        <v>Gestión de Taller de Mantención</v>
      </c>
      <c r="C427" s="21" t="str">
        <f>IFERROR(_xlfn.XLOOKUP(D427,'Historias de Usuario'!C:C,'Historias de Usuario'!D:D, "Selecciona una historia"), "")</f>
        <v>Como Admin Taller quiero editar información de un empleado para actualizar sus datos o cambiar su rol</v>
      </c>
      <c r="D427" s="22" t="s">
        <v>862</v>
      </c>
      <c r="E427" s="21" t="s">
        <v>893</v>
      </c>
      <c r="F427" s="21" t="s">
        <v>370</v>
      </c>
      <c r="G427" s="10" t="s">
        <v>1193</v>
      </c>
      <c r="H427" s="22" t="s">
        <v>17</v>
      </c>
    </row>
    <row r="428" spans="2:8" ht="30" x14ac:dyDescent="0.3">
      <c r="B428" s="20" t="str">
        <f>IFERROR(_xlfn.XLOOKUP(D428,'Historias de Usuario'!C:C,'Historias de Usuario'!B:B, "Selecciona una historia"), "")</f>
        <v>Gestión de Taller de Mantención</v>
      </c>
      <c r="C428" s="21" t="str">
        <f>IFERROR(_xlfn.XLOOKUP(D428,'Historias de Usuario'!C:C,'Historias de Usuario'!D:D, "Selecciona una historia"), "")</f>
        <v>Como Admin Taller quiero editar información de un empleado para actualizar sus datos o cambiar su rol</v>
      </c>
      <c r="D428" s="22" t="s">
        <v>862</v>
      </c>
      <c r="E428" s="21" t="s">
        <v>894</v>
      </c>
      <c r="F428" s="21" t="s">
        <v>259</v>
      </c>
      <c r="G428" s="10" t="s">
        <v>1193</v>
      </c>
      <c r="H428" s="22" t="s">
        <v>17</v>
      </c>
    </row>
    <row r="429" spans="2:8" ht="30" x14ac:dyDescent="0.3">
      <c r="B429" s="20" t="str">
        <f>IFERROR(_xlfn.XLOOKUP(D429,'Historias de Usuario'!C:C,'Historias de Usuario'!B:B, "Selecciona una historia"), "")</f>
        <v>Gestión de Taller de Mantención</v>
      </c>
      <c r="C429" s="21" t="str">
        <f>IFERROR(_xlfn.XLOOKUP(D429,'Historias de Usuario'!C:C,'Historias de Usuario'!D:D, "Selecciona una historia"), "")</f>
        <v>Como Admin Taller quiero editar información de un empleado para actualizar sus datos o cambiar su rol</v>
      </c>
      <c r="D429" s="22" t="s">
        <v>862</v>
      </c>
      <c r="E429" s="21" t="s">
        <v>895</v>
      </c>
      <c r="F429" s="21" t="s">
        <v>171</v>
      </c>
      <c r="G429" s="10" t="s">
        <v>1193</v>
      </c>
      <c r="H429" s="22" t="s">
        <v>17</v>
      </c>
    </row>
    <row r="430" spans="2:8" ht="30" x14ac:dyDescent="0.3">
      <c r="B430" s="20" t="str">
        <f>IFERROR(_xlfn.XLOOKUP(D430,'Historias de Usuario'!C:C,'Historias de Usuario'!B:B, "Selecciona una historia"), "")</f>
        <v>Gestión de Taller de Mantención</v>
      </c>
      <c r="C430" s="21" t="str">
        <f>IFERROR(_xlfn.XLOOKUP(D430,'Historias de Usuario'!C:C,'Historias de Usuario'!D:D, "Selecciona una historia"), "")</f>
        <v>Como Admin Taller quiero desactivas o activar empleados para controlar accesos sin eliminar cuentas</v>
      </c>
      <c r="D430" s="22" t="s">
        <v>872</v>
      </c>
      <c r="E430" s="21" t="s">
        <v>896</v>
      </c>
      <c r="F430" s="21" t="s">
        <v>873</v>
      </c>
      <c r="G430" s="10" t="s">
        <v>1193</v>
      </c>
      <c r="H430" s="22" t="s">
        <v>17</v>
      </c>
    </row>
    <row r="431" spans="2:8" ht="30" x14ac:dyDescent="0.3">
      <c r="B431" s="20" t="str">
        <f>IFERROR(_xlfn.XLOOKUP(D431,'Historias de Usuario'!C:C,'Historias de Usuario'!B:B, "Selecciona una historia"), "")</f>
        <v>Gestión de Taller de Mantención</v>
      </c>
      <c r="C431" s="21" t="str">
        <f>IFERROR(_xlfn.XLOOKUP(D431,'Historias de Usuario'!C:C,'Historias de Usuario'!D:D, "Selecciona una historia"), "")</f>
        <v>Como Admin Taller quiero desactivas o activar empleados para controlar accesos sin eliminar cuentas</v>
      </c>
      <c r="D431" s="22" t="s">
        <v>872</v>
      </c>
      <c r="E431" s="21" t="s">
        <v>897</v>
      </c>
      <c r="F431" s="21" t="s">
        <v>874</v>
      </c>
      <c r="G431" s="10" t="s">
        <v>1193</v>
      </c>
      <c r="H431" s="22" t="s">
        <v>17</v>
      </c>
    </row>
    <row r="432" spans="2:8" ht="30" x14ac:dyDescent="0.3">
      <c r="B432" s="20" t="str">
        <f>IFERROR(_xlfn.XLOOKUP(D432,'Historias de Usuario'!C:C,'Historias de Usuario'!B:B, "Selecciona una historia"), "")</f>
        <v>Gestión de Taller de Mantención</v>
      </c>
      <c r="C432" s="21" t="str">
        <f>IFERROR(_xlfn.XLOOKUP(D432,'Historias de Usuario'!C:C,'Historias de Usuario'!D:D, "Selecciona una historia"), "")</f>
        <v>Como Admin Taller quiero desactivas o activar empleados para controlar accesos sin eliminar cuentas</v>
      </c>
      <c r="D432" s="22" t="s">
        <v>872</v>
      </c>
      <c r="E432" s="21" t="s">
        <v>907</v>
      </c>
      <c r="F432" s="21" t="s">
        <v>875</v>
      </c>
      <c r="G432" s="10" t="s">
        <v>1193</v>
      </c>
      <c r="H432" s="22" t="s">
        <v>17</v>
      </c>
    </row>
    <row r="433" spans="2:8" ht="43.2" x14ac:dyDescent="0.3">
      <c r="B433" s="20" t="str">
        <f>IFERROR(_xlfn.XLOOKUP(D433,'Historias de Usuario'!C:C,'Historias de Usuario'!B:B, "Selecciona una historia"), "")</f>
        <v>Gestión de Taller de Mantención</v>
      </c>
      <c r="C433" s="21" t="str">
        <f>IFERROR(_xlfn.XLOOKUP(D433,'Historias de Usuario'!C:C,'Historias de Usuario'!D:D, "Selecciona una historia"), "")</f>
        <v>Como usuario del taller quiero crear una solicitud a SIGVE para solicitar nuevos recursos (repuestos, proveedores, etc)</v>
      </c>
      <c r="D433" s="22" t="s">
        <v>880</v>
      </c>
      <c r="E433" s="21" t="s">
        <v>908</v>
      </c>
      <c r="F433" s="21" t="s">
        <v>886</v>
      </c>
      <c r="G433" s="10" t="s">
        <v>1193</v>
      </c>
      <c r="H433" s="22" t="s">
        <v>17</v>
      </c>
    </row>
    <row r="434" spans="2:8" ht="43.2" x14ac:dyDescent="0.3">
      <c r="B434" s="20" t="str">
        <f>IFERROR(_xlfn.XLOOKUP(D434,'Historias de Usuario'!C:C,'Historias de Usuario'!B:B, "Selecciona una historia"), "")</f>
        <v>Gestión de Taller de Mantención</v>
      </c>
      <c r="C434" s="21" t="str">
        <f>IFERROR(_xlfn.XLOOKUP(D434,'Historias de Usuario'!C:C,'Historias de Usuario'!D:D, "Selecciona una historia"), "")</f>
        <v>Como usuario del taller quiero crear una solicitud a SIGVE para solicitar nuevos recursos (repuestos, proveedores, etc)</v>
      </c>
      <c r="D434" s="22" t="s">
        <v>880</v>
      </c>
      <c r="E434" s="21" t="s">
        <v>909</v>
      </c>
      <c r="F434" s="21" t="s">
        <v>887</v>
      </c>
      <c r="G434" s="10" t="s">
        <v>1193</v>
      </c>
      <c r="H434" s="22" t="s">
        <v>17</v>
      </c>
    </row>
    <row r="435" spans="2:8" ht="43.2" x14ac:dyDescent="0.3">
      <c r="B435" s="20" t="str">
        <f>IFERROR(_xlfn.XLOOKUP(D435,'Historias de Usuario'!C:C,'Historias de Usuario'!B:B, "Selecciona una historia"), "")</f>
        <v>Gestión de Taller de Mantención</v>
      </c>
      <c r="C435" s="21" t="str">
        <f>IFERROR(_xlfn.XLOOKUP(D435,'Historias de Usuario'!C:C,'Historias de Usuario'!D:D, "Selecciona una historia"), "")</f>
        <v>Como usuario del taller quiero crear una solicitud a SIGVE para solicitar nuevos recursos (repuestos, proveedores, etc)</v>
      </c>
      <c r="D435" s="22" t="s">
        <v>880</v>
      </c>
      <c r="E435" s="21" t="s">
        <v>910</v>
      </c>
      <c r="F435" s="21" t="s">
        <v>881</v>
      </c>
      <c r="G435" s="10" t="s">
        <v>1193</v>
      </c>
      <c r="H435" s="22" t="s">
        <v>17</v>
      </c>
    </row>
    <row r="436" spans="2:8" ht="43.2" x14ac:dyDescent="0.3">
      <c r="B436" s="20" t="str">
        <f>IFERROR(_xlfn.XLOOKUP(D436,'Historias de Usuario'!C:C,'Historias de Usuario'!B:B, "Selecciona una historia"), "")</f>
        <v>Gestión de Taller de Mantención</v>
      </c>
      <c r="C436" s="21" t="str">
        <f>IFERROR(_xlfn.XLOOKUP(D436,'Historias de Usuario'!C:C,'Historias de Usuario'!D:D, "Selecciona una historia"), "")</f>
        <v>Como usuario del taller quiero crear una solicitud a SIGVE para solicitar nuevos recursos (repuestos, proveedores, etc)</v>
      </c>
      <c r="D436" s="22" t="s">
        <v>880</v>
      </c>
      <c r="E436" s="21" t="s">
        <v>911</v>
      </c>
      <c r="F436" s="21" t="s">
        <v>882</v>
      </c>
      <c r="G436" s="10" t="s">
        <v>1193</v>
      </c>
      <c r="H436" s="22" t="s">
        <v>17</v>
      </c>
    </row>
    <row r="437" spans="2:8" ht="43.2" x14ac:dyDescent="0.3">
      <c r="B437" s="20" t="str">
        <f>IFERROR(_xlfn.XLOOKUP(D437,'Historias de Usuario'!C:C,'Historias de Usuario'!B:B, "Selecciona una historia"), "")</f>
        <v>Gestión de Taller de Mantención</v>
      </c>
      <c r="C437" s="21" t="str">
        <f>IFERROR(_xlfn.XLOOKUP(D437,'Historias de Usuario'!C:C,'Historias de Usuario'!D:D, "Selecciona una historia"), "")</f>
        <v>Como usuario del taller quiero crear una solicitud a SIGVE para solicitar nuevos recursos (repuestos, proveedores, etc)</v>
      </c>
      <c r="D437" s="22" t="s">
        <v>880</v>
      </c>
      <c r="E437" s="21" t="s">
        <v>912</v>
      </c>
      <c r="F437" s="21" t="s">
        <v>883</v>
      </c>
      <c r="G437" s="10" t="s">
        <v>1193</v>
      </c>
      <c r="H437" s="22" t="s">
        <v>17</v>
      </c>
    </row>
    <row r="438" spans="2:8" ht="43.2" x14ac:dyDescent="0.3">
      <c r="B438" s="20" t="str">
        <f>IFERROR(_xlfn.XLOOKUP(D438,'Historias de Usuario'!C:C,'Historias de Usuario'!B:B, "Selecciona una historia"), "")</f>
        <v>Gestión de Taller de Mantención</v>
      </c>
      <c r="C438" s="21" t="str">
        <f>IFERROR(_xlfn.XLOOKUP(D438,'Historias de Usuario'!C:C,'Historias de Usuario'!D:D, "Selecciona una historia"), "")</f>
        <v>Como usuario del taller quiero crear una solicitud a SIGVE para solicitar nuevos recursos (repuestos, proveedores, etc)</v>
      </c>
      <c r="D438" s="22" t="s">
        <v>880</v>
      </c>
      <c r="E438" s="21" t="s">
        <v>913</v>
      </c>
      <c r="F438" s="21" t="s">
        <v>888</v>
      </c>
      <c r="G438" s="10" t="s">
        <v>1193</v>
      </c>
      <c r="H438" s="22" t="s">
        <v>17</v>
      </c>
    </row>
    <row r="439" spans="2:8" ht="43.2" x14ac:dyDescent="0.3">
      <c r="B439" s="20" t="str">
        <f>IFERROR(_xlfn.XLOOKUP(D439,'Historias de Usuario'!C:C,'Historias de Usuario'!B:B, "Selecciona una historia"), "")</f>
        <v>Gestión de Taller de Mantención</v>
      </c>
      <c r="C439" s="21" t="str">
        <f>IFERROR(_xlfn.XLOOKUP(D439,'Historias de Usuario'!C:C,'Historias de Usuario'!D:D, "Selecciona una historia"), "")</f>
        <v>Como usuario del taller quiero crear una solicitud a SIGVE para solicitar nuevos recursos (repuestos, proveedores, etc)</v>
      </c>
      <c r="D439" s="22" t="s">
        <v>880</v>
      </c>
      <c r="E439" s="21" t="s">
        <v>941</v>
      </c>
      <c r="F439" s="21" t="s">
        <v>374</v>
      </c>
      <c r="G439" s="10" t="s">
        <v>1193</v>
      </c>
      <c r="H439" s="22" t="s">
        <v>17</v>
      </c>
    </row>
    <row r="440" spans="2:8" ht="43.2" x14ac:dyDescent="0.3">
      <c r="B440" s="20" t="str">
        <f>IFERROR(_xlfn.XLOOKUP(D440,'Historias de Usuario'!C:C,'Historias de Usuario'!B:B, "Selecciona una historia"), "")</f>
        <v>Gestión de Taller de Mantención</v>
      </c>
      <c r="C440" s="21" t="str">
        <f>IFERROR(_xlfn.XLOOKUP(D440,'Historias de Usuario'!C:C,'Historias de Usuario'!D:D, "Selecciona una historia"), "")</f>
        <v>Como usuario del taller quiero crear una solicitud a SIGVE para solicitar nuevos recursos (repuestos, proveedores, etc)</v>
      </c>
      <c r="D440" s="22" t="s">
        <v>880</v>
      </c>
      <c r="E440" s="21" t="s">
        <v>949</v>
      </c>
      <c r="F440" s="21" t="s">
        <v>884</v>
      </c>
      <c r="G440" s="10" t="s">
        <v>1193</v>
      </c>
      <c r="H440" s="22" t="s">
        <v>17</v>
      </c>
    </row>
    <row r="441" spans="2:8" ht="43.2" x14ac:dyDescent="0.3">
      <c r="B441" s="20" t="str">
        <f>IFERROR(_xlfn.XLOOKUP(D441,'Historias de Usuario'!C:C,'Historias de Usuario'!B:B, "Selecciona una historia"), "")</f>
        <v>Gestión de Taller de Mantención</v>
      </c>
      <c r="C441" s="21" t="str">
        <f>IFERROR(_xlfn.XLOOKUP(D441,'Historias de Usuario'!C:C,'Historias de Usuario'!D:D, "Selecciona una historia"), "")</f>
        <v>Como usuario del taller quiero crear una solicitud a SIGVE para solicitar nuevos recursos (repuestos, proveedores, etc)</v>
      </c>
      <c r="D441" s="22" t="s">
        <v>880</v>
      </c>
      <c r="E441" s="21" t="s">
        <v>950</v>
      </c>
      <c r="F441" s="21" t="s">
        <v>885</v>
      </c>
      <c r="G441" s="10" t="s">
        <v>1193</v>
      </c>
      <c r="H441" s="22" t="s">
        <v>17</v>
      </c>
    </row>
    <row r="442" spans="2:8" ht="43.2" x14ac:dyDescent="0.3">
      <c r="B442" s="20" t="str">
        <f>IFERROR(_xlfn.XLOOKUP(D442,'Historias de Usuario'!C:C,'Historias de Usuario'!B:B, "Selecciona una historia"), "")</f>
        <v>Gestión de Taller de Mantención</v>
      </c>
      <c r="C442" s="21" t="str">
        <f>IFERROR(_xlfn.XLOOKUP(D442,'Historias de Usuario'!C:C,'Historias de Usuario'!D:D, "Selecciona una historia"), "")</f>
        <v>Como usuario del taller quiero ver solicitudes a SIGVE realizadas por el taller para hacer seguimiento de recursos solicitados</v>
      </c>
      <c r="D442" s="22" t="s">
        <v>899</v>
      </c>
      <c r="E442" s="21" t="s">
        <v>951</v>
      </c>
      <c r="F442" s="21" t="s">
        <v>900</v>
      </c>
      <c r="G442" s="10" t="s">
        <v>1193</v>
      </c>
      <c r="H442" s="22" t="s">
        <v>17</v>
      </c>
    </row>
    <row r="443" spans="2:8" ht="43.2" x14ac:dyDescent="0.3">
      <c r="B443" s="20" t="str">
        <f>IFERROR(_xlfn.XLOOKUP(D443,'Historias de Usuario'!C:C,'Historias de Usuario'!B:B, "Selecciona una historia"), "")</f>
        <v>Gestión de Taller de Mantención</v>
      </c>
      <c r="C443" s="21" t="str">
        <f>IFERROR(_xlfn.XLOOKUP(D443,'Historias de Usuario'!C:C,'Historias de Usuario'!D:D, "Selecciona una historia"), "")</f>
        <v>Como usuario del taller quiero ver solicitudes a SIGVE realizadas por el taller para hacer seguimiento de recursos solicitados</v>
      </c>
      <c r="D443" s="22" t="s">
        <v>899</v>
      </c>
      <c r="E443" s="21" t="s">
        <v>952</v>
      </c>
      <c r="F443" s="21" t="s">
        <v>901</v>
      </c>
      <c r="G443" s="10" t="s">
        <v>1193</v>
      </c>
      <c r="H443" s="22" t="s">
        <v>17</v>
      </c>
    </row>
    <row r="444" spans="2:8" ht="43.2" x14ac:dyDescent="0.3">
      <c r="B444" s="20" t="str">
        <f>IFERROR(_xlfn.XLOOKUP(D444,'Historias de Usuario'!C:C,'Historias de Usuario'!B:B, "Selecciona una historia"), "")</f>
        <v>Gestión de Taller de Mantención</v>
      </c>
      <c r="C444" s="21" t="str">
        <f>IFERROR(_xlfn.XLOOKUP(D444,'Historias de Usuario'!C:C,'Historias de Usuario'!D:D, "Selecciona una historia"), "")</f>
        <v>Como usuario del taller quiero ver solicitudes a SIGVE realizadas por el taller para hacer seguimiento de recursos solicitados</v>
      </c>
      <c r="D444" s="22" t="s">
        <v>899</v>
      </c>
      <c r="E444" s="21" t="s">
        <v>953</v>
      </c>
      <c r="F444" s="21" t="s">
        <v>902</v>
      </c>
      <c r="G444" s="10" t="s">
        <v>1193</v>
      </c>
      <c r="H444" s="22" t="s">
        <v>17</v>
      </c>
    </row>
    <row r="445" spans="2:8" ht="43.2" x14ac:dyDescent="0.3">
      <c r="B445" s="20" t="str">
        <f>IFERROR(_xlfn.XLOOKUP(D445,'Historias de Usuario'!C:C,'Historias de Usuario'!B:B, "Selecciona una historia"), "")</f>
        <v>Gestión de Taller de Mantención</v>
      </c>
      <c r="C445" s="21" t="str">
        <f>IFERROR(_xlfn.XLOOKUP(D445,'Historias de Usuario'!C:C,'Historias de Usuario'!D:D, "Selecciona una historia"), "")</f>
        <v>Como usuario del taller quiero ver solicitudes a SIGVE realizadas por el taller para hacer seguimiento de recursos solicitados</v>
      </c>
      <c r="D445" s="22" t="s">
        <v>899</v>
      </c>
      <c r="E445" s="21" t="s">
        <v>958</v>
      </c>
      <c r="F445" s="21" t="s">
        <v>903</v>
      </c>
      <c r="G445" s="10" t="s">
        <v>1193</v>
      </c>
      <c r="H445" s="22" t="s">
        <v>17</v>
      </c>
    </row>
    <row r="446" spans="2:8" ht="43.2" x14ac:dyDescent="0.3">
      <c r="B446" s="20" t="str">
        <f>IFERROR(_xlfn.XLOOKUP(D446,'Historias de Usuario'!C:C,'Historias de Usuario'!B:B, "Selecciona una historia"), "")</f>
        <v>Gestión de Taller de Mantención</v>
      </c>
      <c r="C446" s="21" t="str">
        <f>IFERROR(_xlfn.XLOOKUP(D446,'Historias de Usuario'!C:C,'Historias de Usuario'!D:D, "Selecciona una historia"), "")</f>
        <v>Como usuario del taller quiero ver solicitudes a SIGVE realizadas por el taller para hacer seguimiento de recursos solicitados</v>
      </c>
      <c r="D446" s="22" t="s">
        <v>899</v>
      </c>
      <c r="E446" s="21" t="s">
        <v>959</v>
      </c>
      <c r="F446" s="21" t="s">
        <v>904</v>
      </c>
      <c r="G446" s="10" t="s">
        <v>1193</v>
      </c>
      <c r="H446" s="22" t="s">
        <v>17</v>
      </c>
    </row>
    <row r="447" spans="2:8" ht="43.2" x14ac:dyDescent="0.3">
      <c r="B447" s="20" t="str">
        <f>IFERROR(_xlfn.XLOOKUP(D447,'Historias de Usuario'!C:C,'Historias de Usuario'!B:B, "Selecciona una historia"), "")</f>
        <v>Gestión de Taller de Mantención</v>
      </c>
      <c r="C447" s="21" t="str">
        <f>IFERROR(_xlfn.XLOOKUP(D447,'Historias de Usuario'!C:C,'Historias de Usuario'!D:D, "Selecciona una historia"), "")</f>
        <v>Como usuario del taller quiero ver solicitudes a SIGVE realizadas por el taller para hacer seguimiento de recursos solicitados</v>
      </c>
      <c r="D447" s="22" t="s">
        <v>899</v>
      </c>
      <c r="E447" s="21" t="s">
        <v>960</v>
      </c>
      <c r="F447" s="21" t="s">
        <v>905</v>
      </c>
      <c r="G447" s="10" t="s">
        <v>1193</v>
      </c>
      <c r="H447" s="22" t="s">
        <v>17</v>
      </c>
    </row>
    <row r="448" spans="2:8" ht="43.2" x14ac:dyDescent="0.3">
      <c r="B448" s="20" t="str">
        <f>IFERROR(_xlfn.XLOOKUP(D448,'Historias de Usuario'!C:C,'Historias de Usuario'!B:B, "Selecciona una historia"), "")</f>
        <v>Gestión de Taller de Mantención</v>
      </c>
      <c r="C448" s="21" t="str">
        <f>IFERROR(_xlfn.XLOOKUP(D448,'Historias de Usuario'!C:C,'Historias de Usuario'!D:D, "Selecciona una historia"), "")</f>
        <v>Como usuario del taller quiero ver solicitudes a SIGVE realizadas por el taller para hacer seguimiento de recursos solicitados</v>
      </c>
      <c r="D448" s="22" t="s">
        <v>899</v>
      </c>
      <c r="E448" s="21" t="s">
        <v>961</v>
      </c>
      <c r="F448" s="21" t="s">
        <v>906</v>
      </c>
      <c r="G448" s="10" t="s">
        <v>1193</v>
      </c>
      <c r="H448" s="22" t="s">
        <v>17</v>
      </c>
    </row>
    <row r="449" spans="2:8" ht="43.2" x14ac:dyDescent="0.3">
      <c r="B449" s="20" t="str">
        <f>IFERROR(_xlfn.XLOOKUP(D449,'Historias de Usuario'!C:C,'Historias de Usuario'!B:B, "Selecciona una historia"), "")</f>
        <v>Gestión de Cuartel de Bomberos</v>
      </c>
      <c r="C449" s="21" t="str">
        <f>IFERROR(_xlfn.XLOOKUP(D449,'Historias de Usuario'!C:C,'Historias de Usuario'!D:D, "Selecciona una historia"), "")</f>
        <v>Como Jefe Cuartel quiero visualizar un dashboard con estadísticas de mi cuartel para tener una visión general del estado de los vehículos</v>
      </c>
      <c r="D449" s="22" t="s">
        <v>916</v>
      </c>
      <c r="E449" s="21" t="s">
        <v>962</v>
      </c>
      <c r="F449" s="21" t="s">
        <v>942</v>
      </c>
      <c r="G449" s="10" t="s">
        <v>1194</v>
      </c>
      <c r="H449" s="22" t="s">
        <v>17</v>
      </c>
    </row>
    <row r="450" spans="2:8" ht="43.2" x14ac:dyDescent="0.3">
      <c r="B450" s="20" t="str">
        <f>IFERROR(_xlfn.XLOOKUP(D450,'Historias de Usuario'!C:C,'Historias de Usuario'!B:B, "Selecciona una historia"), "")</f>
        <v>Gestión de Cuartel de Bomberos</v>
      </c>
      <c r="C450" s="21" t="str">
        <f>IFERROR(_xlfn.XLOOKUP(D450,'Historias de Usuario'!C:C,'Historias de Usuario'!D:D, "Selecciona una historia"), "")</f>
        <v>Como Jefe Cuartel quiero visualizar un dashboard con estadísticas de mi cuartel para tener una visión general del estado de los vehículos</v>
      </c>
      <c r="D450" s="22" t="s">
        <v>916</v>
      </c>
      <c r="E450" s="21" t="s">
        <v>963</v>
      </c>
      <c r="F450" s="10" t="s">
        <v>943</v>
      </c>
      <c r="G450" s="10" t="s">
        <v>1194</v>
      </c>
      <c r="H450" s="22" t="s">
        <v>17</v>
      </c>
    </row>
    <row r="451" spans="2:8" ht="43.2" x14ac:dyDescent="0.3">
      <c r="B451" s="20" t="str">
        <f>IFERROR(_xlfn.XLOOKUP(D451,'Historias de Usuario'!C:C,'Historias de Usuario'!B:B, "Selecciona una historia"), "")</f>
        <v>Gestión de Cuartel de Bomberos</v>
      </c>
      <c r="C451" s="21" t="str">
        <f>IFERROR(_xlfn.XLOOKUP(D451,'Historias de Usuario'!C:C,'Historias de Usuario'!D:D, "Selecciona una historia"), "")</f>
        <v>Como Jefe Cuartel quiero visualizar un dashboard con estadísticas de mi cuartel para tener una visión general del estado de los vehículos</v>
      </c>
      <c r="D451" s="22" t="s">
        <v>916</v>
      </c>
      <c r="E451" s="21" t="s">
        <v>977</v>
      </c>
      <c r="F451" s="5" t="s">
        <v>944</v>
      </c>
      <c r="G451" s="10" t="s">
        <v>1194</v>
      </c>
      <c r="H451" s="22" t="s">
        <v>17</v>
      </c>
    </row>
    <row r="452" spans="2:8" ht="43.2" x14ac:dyDescent="0.3">
      <c r="B452" s="20" t="str">
        <f>IFERROR(_xlfn.XLOOKUP(D452,'Historias de Usuario'!C:C,'Historias de Usuario'!B:B, "Selecciona una historia"), "")</f>
        <v>Gestión de Cuartel de Bomberos</v>
      </c>
      <c r="C452" s="21" t="str">
        <f>IFERROR(_xlfn.XLOOKUP(D452,'Historias de Usuario'!C:C,'Historias de Usuario'!D:D, "Selecciona una historia"), "")</f>
        <v>Como Jefe Cuartel quiero visualizar un dashboard con estadísticas de mi cuartel para tener una visión general del estado de los vehículos</v>
      </c>
      <c r="D452" s="22" t="s">
        <v>916</v>
      </c>
      <c r="E452" s="21" t="s">
        <v>978</v>
      </c>
      <c r="F452" s="10" t="s">
        <v>945</v>
      </c>
      <c r="G452" s="10" t="s">
        <v>1194</v>
      </c>
      <c r="H452" s="22" t="s">
        <v>17</v>
      </c>
    </row>
    <row r="453" spans="2:8" ht="43.2" x14ac:dyDescent="0.3">
      <c r="B453" s="20" t="str">
        <f>IFERROR(_xlfn.XLOOKUP(D453,'Historias de Usuario'!C:C,'Historias de Usuario'!B:B, "Selecciona una historia"), "")</f>
        <v>Gestión de Cuartel de Bomberos</v>
      </c>
      <c r="C453" s="21" t="str">
        <f>IFERROR(_xlfn.XLOOKUP(D453,'Historias de Usuario'!C:C,'Historias de Usuario'!D:D, "Selecciona una historia"), "")</f>
        <v>Como Jefe Cuartel quiero visualizar un dashboard con estadísticas de mi cuartel para tener una visión general del estado de los vehículos</v>
      </c>
      <c r="D453" s="22" t="s">
        <v>916</v>
      </c>
      <c r="E453" s="21" t="s">
        <v>979</v>
      </c>
      <c r="F453" s="21" t="s">
        <v>946</v>
      </c>
      <c r="G453" s="10" t="s">
        <v>1194</v>
      </c>
      <c r="H453" s="22" t="s">
        <v>17</v>
      </c>
    </row>
    <row r="454" spans="2:8" ht="43.2" x14ac:dyDescent="0.3">
      <c r="B454" s="20" t="str">
        <f>IFERROR(_xlfn.XLOOKUP(D454,'Historias de Usuario'!C:C,'Historias de Usuario'!B:B, "Selecciona una historia"), "")</f>
        <v>Gestión de Cuartel de Bomberos</v>
      </c>
      <c r="C454" s="21" t="str">
        <f>IFERROR(_xlfn.XLOOKUP(D454,'Historias de Usuario'!C:C,'Historias de Usuario'!D:D, "Selecciona una historia"), "")</f>
        <v>Como Jefe Cuartel quiero visualizar un dashboard con estadísticas de mi cuartel para tener una visión general del estado de los vehículos</v>
      </c>
      <c r="D454" s="22" t="s">
        <v>916</v>
      </c>
      <c r="E454" s="21" t="s">
        <v>980</v>
      </c>
      <c r="F454" s="21" t="s">
        <v>947</v>
      </c>
      <c r="G454" s="10" t="s">
        <v>1194</v>
      </c>
      <c r="H454" s="22" t="s">
        <v>32</v>
      </c>
    </row>
    <row r="455" spans="2:8" ht="43.2" x14ac:dyDescent="0.3">
      <c r="B455" s="20" t="str">
        <f>IFERROR(_xlfn.XLOOKUP(D455,'Historias de Usuario'!C:C,'Historias de Usuario'!B:B, "Selecciona una historia"), "")</f>
        <v>Gestión de Cuartel de Bomberos</v>
      </c>
      <c r="C455" s="21" t="str">
        <f>IFERROR(_xlfn.XLOOKUP(D455,'Historias de Usuario'!C:C,'Historias de Usuario'!D:D, "Selecciona una historia"), "")</f>
        <v>Como Jefe Cuartel quiero visualizar un dashboard con estadísticas de mi cuartel para tener una visión general del estado de los vehículos</v>
      </c>
      <c r="D455" s="22" t="s">
        <v>916</v>
      </c>
      <c r="E455" s="21" t="s">
        <v>981</v>
      </c>
      <c r="F455" s="21" t="s">
        <v>948</v>
      </c>
      <c r="G455" s="10" t="s">
        <v>1194</v>
      </c>
      <c r="H455" s="22" t="s">
        <v>17</v>
      </c>
    </row>
    <row r="456" spans="2:8" ht="43.2" x14ac:dyDescent="0.3">
      <c r="B456" s="20" t="str">
        <f>IFERROR(_xlfn.XLOOKUP(D456,'Historias de Usuario'!C:C,'Historias de Usuario'!B:B, "Selecciona una historia"), "")</f>
        <v>Gestión de Cuartel de Bomberos</v>
      </c>
      <c r="C456" s="21" t="str">
        <f>IFERROR(_xlfn.XLOOKUP(D456,'Historias de Usuario'!C:C,'Historias de Usuario'!D:D, "Selecciona una historia"), "")</f>
        <v>Como Jefe Cuartel quiero visualizar un dashboard con estadísticas de mi cuartel para tener una visión general del estado de los vehículos</v>
      </c>
      <c r="D456" s="22" t="s">
        <v>916</v>
      </c>
      <c r="E456" s="21" t="s">
        <v>982</v>
      </c>
      <c r="F456" s="21" t="s">
        <v>954</v>
      </c>
      <c r="G456" s="10" t="s">
        <v>1194</v>
      </c>
      <c r="H456" s="22" t="s">
        <v>17</v>
      </c>
    </row>
    <row r="457" spans="2:8" ht="43.2" x14ac:dyDescent="0.3">
      <c r="B457" s="20" t="str">
        <f>IFERROR(_xlfn.XLOOKUP(D457,'Historias de Usuario'!C:C,'Historias de Usuario'!B:B, "Selecciona una historia"), "")</f>
        <v>Gestión de Cuartel de Bomberos</v>
      </c>
      <c r="C457" s="21" t="str">
        <f>IFERROR(_xlfn.XLOOKUP(D457,'Historias de Usuario'!C:C,'Historias de Usuario'!D:D, "Selecciona una historia"), "")</f>
        <v>Como Jefe Cuartel quiero visualizar un dashboard con estadísticas de mi cuartel para tener una visión general del estado de los vehículos</v>
      </c>
      <c r="D457" s="22" t="s">
        <v>916</v>
      </c>
      <c r="E457" s="21" t="s">
        <v>983</v>
      </c>
      <c r="F457" s="21" t="s">
        <v>955</v>
      </c>
      <c r="G457" s="10" t="s">
        <v>1194</v>
      </c>
      <c r="H457" s="22" t="s">
        <v>17</v>
      </c>
    </row>
    <row r="458" spans="2:8" ht="43.2" x14ac:dyDescent="0.3">
      <c r="B458" s="20" t="str">
        <f>IFERROR(_xlfn.XLOOKUP(D458,'Historias de Usuario'!C:C,'Historias de Usuario'!B:B, "Selecciona una historia"), "")</f>
        <v>Gestión de Cuartel de Bomberos</v>
      </c>
      <c r="C458" s="21" t="str">
        <f>IFERROR(_xlfn.XLOOKUP(D458,'Historias de Usuario'!C:C,'Historias de Usuario'!D:D, "Selecciona una historia"), "")</f>
        <v>Como Jefe Cuartel quiero visualizar un dashboard con estadísticas de mi cuartel para tener una visión general del estado de los vehículos</v>
      </c>
      <c r="D458" s="22" t="s">
        <v>916</v>
      </c>
      <c r="E458" s="21" t="s">
        <v>984</v>
      </c>
      <c r="F458" s="21" t="s">
        <v>956</v>
      </c>
      <c r="G458" s="10" t="s">
        <v>1194</v>
      </c>
      <c r="H458" s="22" t="s">
        <v>17</v>
      </c>
    </row>
    <row r="459" spans="2:8" ht="43.2" x14ac:dyDescent="0.3">
      <c r="B459" s="20" t="str">
        <f>IFERROR(_xlfn.XLOOKUP(D459,'Historias de Usuario'!C:C,'Historias de Usuario'!B:B, "Selecciona una historia"), "")</f>
        <v>Gestión de Cuartel de Bomberos</v>
      </c>
      <c r="C459" s="21" t="str">
        <f>IFERROR(_xlfn.XLOOKUP(D459,'Historias de Usuario'!C:C,'Historias de Usuario'!D:D, "Selecciona una historia"), "")</f>
        <v>Como Jefe Cuartel quiero visualizar un dashboard con estadísticas de mi cuartel para tener una visión general del estado de los vehículos</v>
      </c>
      <c r="D459" s="22" t="s">
        <v>916</v>
      </c>
      <c r="E459" s="21" t="s">
        <v>985</v>
      </c>
      <c r="F459" s="21" t="s">
        <v>957</v>
      </c>
      <c r="G459" s="10" t="s">
        <v>1194</v>
      </c>
      <c r="H459" s="22" t="s">
        <v>17</v>
      </c>
    </row>
    <row r="460" spans="2:8" ht="30" x14ac:dyDescent="0.3">
      <c r="B460" s="20" t="str">
        <f>IFERROR(_xlfn.XLOOKUP(D460,'Historias de Usuario'!C:C,'Historias de Usuario'!B:B, "Selecciona una historia"), "")</f>
        <v>Gestión de Cuartel de Bomberos</v>
      </c>
      <c r="C460" s="21" t="str">
        <f>IFERROR(_xlfn.XLOOKUP(D460,'Historias de Usuario'!C:C,'Historias de Usuario'!D:D, "Selecciona una historia"), "")</f>
        <v>Como Jefe Cuartel quiero ver un listado de todos los vehículos para consultar su estado y detalles</v>
      </c>
      <c r="D460" s="22" t="s">
        <v>918</v>
      </c>
      <c r="E460" s="21" t="s">
        <v>986</v>
      </c>
      <c r="F460" s="21" t="s">
        <v>964</v>
      </c>
      <c r="G460" s="10" t="s">
        <v>1194</v>
      </c>
      <c r="H460" s="22" t="s">
        <v>17</v>
      </c>
    </row>
    <row r="461" spans="2:8" ht="30" x14ac:dyDescent="0.3">
      <c r="B461" s="20" t="str">
        <f>IFERROR(_xlfn.XLOOKUP(D461,'Historias de Usuario'!C:C,'Historias de Usuario'!B:B, "Selecciona una historia"), "")</f>
        <v>Gestión de Cuartel de Bomberos</v>
      </c>
      <c r="C461" s="21" t="str">
        <f>IFERROR(_xlfn.XLOOKUP(D461,'Historias de Usuario'!C:C,'Historias de Usuario'!D:D, "Selecciona una historia"), "")</f>
        <v>Como Jefe Cuartel quiero ver un listado de todos los vehículos para consultar su estado y detalles</v>
      </c>
      <c r="D461" s="22" t="s">
        <v>918</v>
      </c>
      <c r="E461" s="21" t="s">
        <v>987</v>
      </c>
      <c r="F461" s="21" t="s">
        <v>965</v>
      </c>
      <c r="G461" s="10" t="s">
        <v>1194</v>
      </c>
      <c r="H461" s="22" t="s">
        <v>17</v>
      </c>
    </row>
    <row r="462" spans="2:8" ht="30" x14ac:dyDescent="0.3">
      <c r="B462" s="20" t="str">
        <f>IFERROR(_xlfn.XLOOKUP(D462,'Historias de Usuario'!C:C,'Historias de Usuario'!B:B, "Selecciona una historia"), "")</f>
        <v>Gestión de Cuartel de Bomberos</v>
      </c>
      <c r="C462" s="21" t="str">
        <f>IFERROR(_xlfn.XLOOKUP(D462,'Historias de Usuario'!C:C,'Historias de Usuario'!D:D, "Selecciona una historia"), "")</f>
        <v>Como Jefe Cuartel quiero ver un listado de todos los vehículos para consultar su estado y detalles</v>
      </c>
      <c r="D462" s="22" t="s">
        <v>918</v>
      </c>
      <c r="E462" s="21" t="s">
        <v>988</v>
      </c>
      <c r="F462" s="21" t="s">
        <v>966</v>
      </c>
      <c r="G462" s="10" t="s">
        <v>1194</v>
      </c>
      <c r="H462" s="22" t="s">
        <v>17</v>
      </c>
    </row>
    <row r="463" spans="2:8" ht="30" x14ac:dyDescent="0.3">
      <c r="B463" s="20" t="str">
        <f>IFERROR(_xlfn.XLOOKUP(D463,'Historias de Usuario'!C:C,'Historias de Usuario'!B:B, "Selecciona una historia"), "")</f>
        <v>Gestión de Cuartel de Bomberos</v>
      </c>
      <c r="C463" s="21" t="str">
        <f>IFERROR(_xlfn.XLOOKUP(D463,'Historias de Usuario'!C:C,'Historias de Usuario'!D:D, "Selecciona una historia"), "")</f>
        <v>Como Jefe Cuartel quiero ver un listado de todos los vehículos para consultar su estado y detalles</v>
      </c>
      <c r="D463" s="22" t="s">
        <v>918</v>
      </c>
      <c r="E463" s="21" t="s">
        <v>1010</v>
      </c>
      <c r="F463" s="21" t="s">
        <v>967</v>
      </c>
      <c r="G463" s="10" t="s">
        <v>1194</v>
      </c>
      <c r="H463" s="22" t="s">
        <v>17</v>
      </c>
    </row>
    <row r="464" spans="2:8" ht="30" x14ac:dyDescent="0.3">
      <c r="B464" s="18" t="str">
        <f>IFERROR(_xlfn.XLOOKUP(D464,'Historias de Usuario'!C:C,'Historias de Usuario'!B:B, "Selecciona una historia"), "")</f>
        <v>Gestión de Cuartel de Bomberos</v>
      </c>
      <c r="C464" s="10" t="str">
        <f>IFERROR(_xlfn.XLOOKUP(D464,'Historias de Usuario'!C:C,'Historias de Usuario'!D:D, "Selecciona una historia"), "")</f>
        <v>Como Jefe Cuartel quiero ver un listado de todos los vehículos para consultar su estado y detalles</v>
      </c>
      <c r="D464" s="22" t="s">
        <v>918</v>
      </c>
      <c r="E464" s="21" t="s">
        <v>1011</v>
      </c>
      <c r="F464" s="10" t="s">
        <v>968</v>
      </c>
      <c r="G464" s="10" t="s">
        <v>1194</v>
      </c>
      <c r="H464" s="9" t="s">
        <v>17</v>
      </c>
    </row>
    <row r="465" spans="2:8" ht="30" x14ac:dyDescent="0.3">
      <c r="B465" s="18" t="str">
        <f>IFERROR(_xlfn.XLOOKUP(D465,'Historias de Usuario'!C:C,'Historias de Usuario'!B:B, "Selecciona una historia"), "")</f>
        <v>Gestión de Cuartel de Bomberos</v>
      </c>
      <c r="C465" s="10" t="str">
        <f>IFERROR(_xlfn.XLOOKUP(D465,'Historias de Usuario'!C:C,'Historias de Usuario'!D:D, "Selecciona una historia"), "")</f>
        <v>Como Jefe Cuartel quiero ver un listado de todos los vehículos para consultar su estado y detalles</v>
      </c>
      <c r="D465" s="22" t="s">
        <v>918</v>
      </c>
      <c r="E465" s="21" t="s">
        <v>1012</v>
      </c>
      <c r="F465" s="10" t="s">
        <v>969</v>
      </c>
      <c r="G465" s="10" t="s">
        <v>1194</v>
      </c>
      <c r="H465" s="9" t="s">
        <v>17</v>
      </c>
    </row>
    <row r="466" spans="2:8" ht="43.2" x14ac:dyDescent="0.3">
      <c r="B466" s="18" t="str">
        <f>IFERROR(_xlfn.XLOOKUP(D466,'Historias de Usuario'!C:C,'Historias de Usuario'!B:B, "Selecciona una historia"), "")</f>
        <v>Gestión de Cuartel de Bomberos</v>
      </c>
      <c r="C466" s="10" t="str">
        <f>IFERROR(_xlfn.XLOOKUP(D466,'Historias de Usuario'!C:C,'Historias de Usuario'!D:D, "Selecciona una historia"), "")</f>
        <v>Como Jefe Cuartel quiero ver un listado de todos los vehículos para consultar su estado y detalles</v>
      </c>
      <c r="D466" s="22" t="s">
        <v>918</v>
      </c>
      <c r="E466" s="21" t="s">
        <v>1013</v>
      </c>
      <c r="F466" s="10" t="s">
        <v>970</v>
      </c>
      <c r="G466" s="10" t="s">
        <v>1194</v>
      </c>
      <c r="H466" s="9" t="s">
        <v>17</v>
      </c>
    </row>
    <row r="467" spans="2:8" ht="30" x14ac:dyDescent="0.3">
      <c r="B467" s="18" t="str">
        <f>IFERROR(_xlfn.XLOOKUP(D467,'Historias de Usuario'!C:C,'Historias de Usuario'!B:B, "Selecciona una historia"), "")</f>
        <v>Gestión de Cuartel de Bomberos</v>
      </c>
      <c r="C467" s="10" t="str">
        <f>IFERROR(_xlfn.XLOOKUP(D467,'Historias de Usuario'!C:C,'Historias de Usuario'!D:D, "Selecciona una historia"), "")</f>
        <v>Como Jefe Cuartel quiero ver un listado de todos los vehículos para consultar su estado y detalles</v>
      </c>
      <c r="D467" s="22" t="s">
        <v>918</v>
      </c>
      <c r="E467" s="21" t="s">
        <v>1014</v>
      </c>
      <c r="F467" s="10" t="s">
        <v>971</v>
      </c>
      <c r="G467" s="10" t="s">
        <v>1194</v>
      </c>
      <c r="H467" s="9" t="s">
        <v>17</v>
      </c>
    </row>
    <row r="468" spans="2:8" ht="30" x14ac:dyDescent="0.3">
      <c r="B468" s="18" t="str">
        <f>IFERROR(_xlfn.XLOOKUP(D468,'Historias de Usuario'!C:C,'Historias de Usuario'!B:B, "Selecciona una historia"), "")</f>
        <v>Gestión de Cuartel de Bomberos</v>
      </c>
      <c r="C468" s="10" t="str">
        <f>IFERROR(_xlfn.XLOOKUP(D468,'Historias de Usuario'!C:C,'Historias de Usuario'!D:D, "Selecciona una historia"), "")</f>
        <v>Como Jefe Cuartel quiero ver un listado de todos los vehículos para consultar su estado y detalles</v>
      </c>
      <c r="D468" s="22" t="s">
        <v>918</v>
      </c>
      <c r="E468" s="21" t="s">
        <v>1015</v>
      </c>
      <c r="F468" s="10" t="s">
        <v>972</v>
      </c>
      <c r="G468" s="10" t="s">
        <v>1194</v>
      </c>
      <c r="H468" s="9" t="s">
        <v>17</v>
      </c>
    </row>
    <row r="469" spans="2:8" ht="30" x14ac:dyDescent="0.3">
      <c r="B469" s="18" t="str">
        <f>IFERROR(_xlfn.XLOOKUP(D469,'Historias de Usuario'!C:C,'Historias de Usuario'!B:B, "Selecciona una historia"), "")</f>
        <v>Gestión de Cuartel de Bomberos</v>
      </c>
      <c r="C469" s="10" t="str">
        <f>IFERROR(_xlfn.XLOOKUP(D469,'Historias de Usuario'!C:C,'Historias de Usuario'!D:D, "Selecciona una historia"), "")</f>
        <v>Como Jefe Cuartel quiero ver un listado de todos los vehículos para consultar su estado y detalles</v>
      </c>
      <c r="D469" s="22" t="s">
        <v>918</v>
      </c>
      <c r="E469" s="21" t="s">
        <v>1016</v>
      </c>
      <c r="F469" s="10" t="s">
        <v>973</v>
      </c>
      <c r="G469" s="10" t="s">
        <v>1194</v>
      </c>
      <c r="H469" s="9" t="s">
        <v>17</v>
      </c>
    </row>
    <row r="470" spans="2:8" ht="30" x14ac:dyDescent="0.3">
      <c r="B470" s="18" t="str">
        <f>IFERROR(_xlfn.XLOOKUP(D470,'Historias de Usuario'!C:C,'Historias de Usuario'!B:B, "Selecciona una historia"), "")</f>
        <v>Gestión de Cuartel de Bomberos</v>
      </c>
      <c r="C470" s="10" t="str">
        <f>IFERROR(_xlfn.XLOOKUP(D470,'Historias de Usuario'!C:C,'Historias de Usuario'!D:D, "Selecciona una historia"), "")</f>
        <v>Como Jefe Cuartel quiero ver un listado de todos los vehículos para consultar su estado y detalles</v>
      </c>
      <c r="D470" s="22" t="s">
        <v>918</v>
      </c>
      <c r="E470" s="21" t="s">
        <v>1017</v>
      </c>
      <c r="F470" s="10" t="s">
        <v>974</v>
      </c>
      <c r="G470" s="10" t="s">
        <v>1194</v>
      </c>
      <c r="H470" s="9" t="s">
        <v>17</v>
      </c>
    </row>
    <row r="471" spans="2:8" ht="30" x14ac:dyDescent="0.3">
      <c r="B471" s="18" t="str">
        <f>IFERROR(_xlfn.XLOOKUP(D471,'Historias de Usuario'!C:C,'Historias de Usuario'!B:B, "Selecciona una historia"), "")</f>
        <v>Gestión de Cuartel de Bomberos</v>
      </c>
      <c r="C471" s="10" t="str">
        <f>IFERROR(_xlfn.XLOOKUP(D471,'Historias de Usuario'!C:C,'Historias de Usuario'!D:D, "Selecciona una historia"), "")</f>
        <v>Como Jefe Cuartel quiero ver un listado de todos los vehículos para consultar su estado y detalles</v>
      </c>
      <c r="D471" s="22" t="s">
        <v>918</v>
      </c>
      <c r="E471" s="21" t="s">
        <v>1018</v>
      </c>
      <c r="F471" s="10" t="s">
        <v>975</v>
      </c>
      <c r="G471" s="10" t="s">
        <v>1194</v>
      </c>
      <c r="H471" s="9" t="s">
        <v>17</v>
      </c>
    </row>
    <row r="472" spans="2:8" ht="30" x14ac:dyDescent="0.3">
      <c r="B472" s="18" t="str">
        <f>IFERROR(_xlfn.XLOOKUP(D472,'Historias de Usuario'!C:C,'Historias de Usuario'!B:B, "Selecciona una historia"), "")</f>
        <v>Gestión de Cuartel de Bomberos</v>
      </c>
      <c r="C472" s="10" t="str">
        <f>IFERROR(_xlfn.XLOOKUP(D472,'Historias de Usuario'!C:C,'Historias de Usuario'!D:D, "Selecciona una historia"), "")</f>
        <v>Como Jefe Cuartel quiero ver un listado de todos los vehículos para consultar su estado y detalles</v>
      </c>
      <c r="D472" s="22" t="s">
        <v>918</v>
      </c>
      <c r="E472" s="21" t="s">
        <v>1019</v>
      </c>
      <c r="F472" s="10" t="s">
        <v>976</v>
      </c>
      <c r="G472" s="10" t="s">
        <v>1194</v>
      </c>
      <c r="H472" s="9" t="s">
        <v>17</v>
      </c>
    </row>
    <row r="473" spans="2:8" ht="30" x14ac:dyDescent="0.3">
      <c r="B473" s="20" t="str">
        <f>IFERROR(_xlfn.XLOOKUP(D473,'Historias de Usuario'!C:C,'Historias de Usuario'!B:B, "Selecciona una historia"), "")</f>
        <v>Gestión de Cuartel de Bomberos</v>
      </c>
      <c r="C473" s="21" t="str">
        <f>IFERROR(_xlfn.XLOOKUP(D473,'Historias de Usuario'!C:C,'Historias de Usuario'!D:D, "Selecciona una historia"), "")</f>
        <v>Como Jefe Cuartel quiero crear un nuevo vehículo para mantener actualizado el registro de la flota</v>
      </c>
      <c r="D473" s="22" t="s">
        <v>930</v>
      </c>
      <c r="E473" s="21" t="s">
        <v>1020</v>
      </c>
      <c r="F473" s="21" t="s">
        <v>989</v>
      </c>
      <c r="G473" s="10" t="s">
        <v>1194</v>
      </c>
      <c r="H473" s="22" t="s">
        <v>17</v>
      </c>
    </row>
    <row r="474" spans="2:8" ht="30" x14ac:dyDescent="0.3">
      <c r="B474" s="18" t="str">
        <f>IFERROR(_xlfn.XLOOKUP(D474,'Historias de Usuario'!C:C,'Historias de Usuario'!B:B, "Selecciona una historia"), "")</f>
        <v>Gestión de Cuartel de Bomberos</v>
      </c>
      <c r="C474" s="10" t="str">
        <f>IFERROR(_xlfn.XLOOKUP(D474,'Historias de Usuario'!C:C,'Historias de Usuario'!D:D, "Selecciona una historia"), "")</f>
        <v>Como Jefe Cuartel quiero crear un nuevo vehículo para mantener actualizado el registro de la flota</v>
      </c>
      <c r="D474" s="22" t="s">
        <v>930</v>
      </c>
      <c r="E474" s="21" t="s">
        <v>1021</v>
      </c>
      <c r="F474" s="10" t="s">
        <v>990</v>
      </c>
      <c r="G474" s="10" t="s">
        <v>1194</v>
      </c>
      <c r="H474" s="9" t="s">
        <v>17</v>
      </c>
    </row>
    <row r="475" spans="2:8" ht="30" x14ac:dyDescent="0.3">
      <c r="B475" s="18" t="str">
        <f>IFERROR(_xlfn.XLOOKUP(D475,'Historias de Usuario'!C:C,'Historias de Usuario'!B:B, "Selecciona una historia"), "")</f>
        <v>Gestión de Cuartel de Bomberos</v>
      </c>
      <c r="C475" s="10" t="str">
        <f>IFERROR(_xlfn.XLOOKUP(D475,'Historias de Usuario'!C:C,'Historias de Usuario'!D:D, "Selecciona una historia"), "")</f>
        <v>Como Jefe Cuartel quiero crear un nuevo vehículo para mantener actualizado el registro de la flota</v>
      </c>
      <c r="D475" s="22" t="s">
        <v>930</v>
      </c>
      <c r="E475" s="21" t="s">
        <v>1022</v>
      </c>
      <c r="F475" s="10" t="s">
        <v>991</v>
      </c>
      <c r="G475" s="10" t="s">
        <v>1194</v>
      </c>
      <c r="H475" s="9" t="s">
        <v>17</v>
      </c>
    </row>
    <row r="476" spans="2:8" ht="30" x14ac:dyDescent="0.3">
      <c r="B476" s="18" t="str">
        <f>IFERROR(_xlfn.XLOOKUP(D476,'Historias de Usuario'!C:C,'Historias de Usuario'!B:B, "Selecciona una historia"), "")</f>
        <v>Gestión de Cuartel de Bomberos</v>
      </c>
      <c r="C476" s="10" t="str">
        <f>IFERROR(_xlfn.XLOOKUP(D476,'Historias de Usuario'!C:C,'Historias de Usuario'!D:D, "Selecciona una historia"), "")</f>
        <v>Como Jefe Cuartel quiero crear un nuevo vehículo para mantener actualizado el registro de la flota</v>
      </c>
      <c r="D476" s="22" t="s">
        <v>930</v>
      </c>
      <c r="E476" s="21" t="s">
        <v>1023</v>
      </c>
      <c r="F476" s="10" t="s">
        <v>992</v>
      </c>
      <c r="G476" s="10" t="s">
        <v>1194</v>
      </c>
      <c r="H476" s="9" t="s">
        <v>17</v>
      </c>
    </row>
    <row r="477" spans="2:8" ht="30" x14ac:dyDescent="0.3">
      <c r="B477" s="18" t="str">
        <f>IFERROR(_xlfn.XLOOKUP(D477,'Historias de Usuario'!C:C,'Historias de Usuario'!B:B, "Selecciona una historia"), "")</f>
        <v>Gestión de Cuartel de Bomberos</v>
      </c>
      <c r="C477" s="10" t="str">
        <f>IFERROR(_xlfn.XLOOKUP(D477,'Historias de Usuario'!C:C,'Historias de Usuario'!D:D, "Selecciona una historia"), "")</f>
        <v>Como Jefe Cuartel quiero crear un nuevo vehículo para mantener actualizado el registro de la flota</v>
      </c>
      <c r="D477" s="22" t="s">
        <v>930</v>
      </c>
      <c r="E477" s="21" t="s">
        <v>1024</v>
      </c>
      <c r="F477" s="10" t="s">
        <v>993</v>
      </c>
      <c r="G477" s="10" t="s">
        <v>1194</v>
      </c>
      <c r="H477" s="9" t="s">
        <v>17</v>
      </c>
    </row>
    <row r="478" spans="2:8" ht="30" x14ac:dyDescent="0.3">
      <c r="B478" s="18" t="str">
        <f>IFERROR(_xlfn.XLOOKUP(D478,'Historias de Usuario'!C:C,'Historias de Usuario'!B:B, "Selecciona una historia"), "")</f>
        <v>Gestión de Cuartel de Bomberos</v>
      </c>
      <c r="C478" s="10" t="str">
        <f>IFERROR(_xlfn.XLOOKUP(D478,'Historias de Usuario'!C:C,'Historias de Usuario'!D:D, "Selecciona una historia"), "")</f>
        <v>Como Jefe Cuartel quiero crear un nuevo vehículo para mantener actualizado el registro de la flota</v>
      </c>
      <c r="D478" s="22" t="s">
        <v>930</v>
      </c>
      <c r="E478" s="21" t="s">
        <v>1025</v>
      </c>
      <c r="F478" s="10" t="s">
        <v>994</v>
      </c>
      <c r="G478" s="10" t="s">
        <v>1194</v>
      </c>
      <c r="H478" s="9" t="s">
        <v>17</v>
      </c>
    </row>
    <row r="479" spans="2:8" ht="30" x14ac:dyDescent="0.3">
      <c r="B479" s="18" t="str">
        <f>IFERROR(_xlfn.XLOOKUP(D479,'Historias de Usuario'!C:C,'Historias de Usuario'!B:B, "Selecciona una historia"), "")</f>
        <v>Gestión de Cuartel de Bomberos</v>
      </c>
      <c r="C479" s="10" t="str">
        <f>IFERROR(_xlfn.XLOOKUP(D479,'Historias de Usuario'!C:C,'Historias de Usuario'!D:D, "Selecciona una historia"), "")</f>
        <v>Como Jefe Cuartel quiero crear un nuevo vehículo para mantener actualizado el registro de la flota</v>
      </c>
      <c r="D479" s="22" t="s">
        <v>930</v>
      </c>
      <c r="E479" s="21" t="s">
        <v>1026</v>
      </c>
      <c r="F479" s="10" t="s">
        <v>995</v>
      </c>
      <c r="G479" s="10" t="s">
        <v>1194</v>
      </c>
      <c r="H479" s="9" t="s">
        <v>17</v>
      </c>
    </row>
    <row r="480" spans="2:8" ht="30" x14ac:dyDescent="0.3">
      <c r="B480" s="18" t="str">
        <f>IFERROR(_xlfn.XLOOKUP(D480,'Historias de Usuario'!C:C,'Historias de Usuario'!B:B, "Selecciona una historia"), "")</f>
        <v>Gestión de Cuartel de Bomberos</v>
      </c>
      <c r="C480" s="10" t="str">
        <f>IFERROR(_xlfn.XLOOKUP(D480,'Historias de Usuario'!C:C,'Historias de Usuario'!D:D, "Selecciona una historia"), "")</f>
        <v>Como Jefe Cuartel quiero crear un nuevo vehículo para mantener actualizado el registro de la flota</v>
      </c>
      <c r="D480" s="22" t="s">
        <v>930</v>
      </c>
      <c r="E480" s="21" t="s">
        <v>1027</v>
      </c>
      <c r="F480" s="10" t="s">
        <v>1219</v>
      </c>
      <c r="G480" s="10" t="s">
        <v>1194</v>
      </c>
      <c r="H480" s="9" t="s">
        <v>17</v>
      </c>
    </row>
    <row r="481" spans="2:8" ht="30" x14ac:dyDescent="0.3">
      <c r="B481" s="18" t="str">
        <f>IFERROR(_xlfn.XLOOKUP(D481,'Historias de Usuario'!C:C,'Historias de Usuario'!B:B, "Selecciona una historia"), "")</f>
        <v>Gestión de Cuartel de Bomberos</v>
      </c>
      <c r="C481" s="10" t="str">
        <f>IFERROR(_xlfn.XLOOKUP(D481,'Historias de Usuario'!C:C,'Historias de Usuario'!D:D, "Selecciona una historia"), "")</f>
        <v>Como Jefe Cuartel quiero crear un nuevo vehículo para mantener actualizado el registro de la flota</v>
      </c>
      <c r="D481" s="22" t="s">
        <v>930</v>
      </c>
      <c r="E481" s="21" t="s">
        <v>1028</v>
      </c>
      <c r="F481" s="10" t="s">
        <v>1220</v>
      </c>
      <c r="G481" s="10" t="s">
        <v>1194</v>
      </c>
      <c r="H481" s="9" t="s">
        <v>17</v>
      </c>
    </row>
    <row r="482" spans="2:8" ht="30" x14ac:dyDescent="0.3">
      <c r="B482" s="18" t="str">
        <f>IFERROR(_xlfn.XLOOKUP(D482,'Historias de Usuario'!C:C,'Historias de Usuario'!B:B, "Selecciona una historia"), "")</f>
        <v>Gestión de Cuartel de Bomberos</v>
      </c>
      <c r="C482" s="10" t="str">
        <f>IFERROR(_xlfn.XLOOKUP(D482,'Historias de Usuario'!C:C,'Historias de Usuario'!D:D, "Selecciona una historia"), "")</f>
        <v>Como Jefe Cuartel quiero crear un nuevo vehículo para mantener actualizado el registro de la flota</v>
      </c>
      <c r="D482" s="22" t="s">
        <v>930</v>
      </c>
      <c r="E482" s="21" t="s">
        <v>1029</v>
      </c>
      <c r="F482" s="10" t="s">
        <v>996</v>
      </c>
      <c r="G482" s="10" t="s">
        <v>1194</v>
      </c>
      <c r="H482" s="9" t="s">
        <v>17</v>
      </c>
    </row>
    <row r="483" spans="2:8" ht="30" x14ac:dyDescent="0.3">
      <c r="B483" s="18" t="str">
        <f>IFERROR(_xlfn.XLOOKUP(D483,'Historias de Usuario'!C:C,'Historias de Usuario'!B:B, "Selecciona una historia"), "")</f>
        <v>Gestión de Cuartel de Bomberos</v>
      </c>
      <c r="C483" s="10" t="str">
        <f>IFERROR(_xlfn.XLOOKUP(D483,'Historias de Usuario'!C:C,'Historias de Usuario'!D:D, "Selecciona una historia"), "")</f>
        <v>Como Jefe Cuartel quiero crear un nuevo vehículo para mantener actualizado el registro de la flota</v>
      </c>
      <c r="D483" s="22" t="s">
        <v>930</v>
      </c>
      <c r="E483" s="21" t="s">
        <v>1030</v>
      </c>
      <c r="F483" s="10" t="s">
        <v>997</v>
      </c>
      <c r="G483" s="10" t="s">
        <v>1194</v>
      </c>
      <c r="H483" s="9" t="s">
        <v>17</v>
      </c>
    </row>
    <row r="484" spans="2:8" ht="30" x14ac:dyDescent="0.3">
      <c r="B484" s="18" t="str">
        <f>IFERROR(_xlfn.XLOOKUP(D484,'Historias de Usuario'!C:C,'Historias de Usuario'!B:B, "Selecciona una historia"), "")</f>
        <v>Gestión de Cuartel de Bomberos</v>
      </c>
      <c r="C484" s="10" t="str">
        <f>IFERROR(_xlfn.XLOOKUP(D484,'Historias de Usuario'!C:C,'Historias de Usuario'!D:D, "Selecciona una historia"), "")</f>
        <v>Como Jefe Cuartel quiero crear un nuevo vehículo para mantener actualizado el registro de la flota</v>
      </c>
      <c r="D484" s="22" t="s">
        <v>930</v>
      </c>
      <c r="E484" s="21" t="s">
        <v>1031</v>
      </c>
      <c r="F484" s="10" t="s">
        <v>998</v>
      </c>
      <c r="G484" s="10" t="s">
        <v>1194</v>
      </c>
      <c r="H484" s="9" t="s">
        <v>17</v>
      </c>
    </row>
    <row r="485" spans="2:8" ht="30" x14ac:dyDescent="0.3">
      <c r="B485" s="18" t="str">
        <f>IFERROR(_xlfn.XLOOKUP(D485,'Historias de Usuario'!C:C,'Historias de Usuario'!B:B, "Selecciona una historia"), "")</f>
        <v>Gestión de Cuartel de Bomberos</v>
      </c>
      <c r="C485" s="10" t="str">
        <f>IFERROR(_xlfn.XLOOKUP(D485,'Historias de Usuario'!C:C,'Historias de Usuario'!D:D, "Selecciona una historia"), "")</f>
        <v>Como Jefe Cuartel quiero crear un nuevo vehículo para mantener actualizado el registro de la flota</v>
      </c>
      <c r="D485" s="22" t="s">
        <v>930</v>
      </c>
      <c r="E485" s="21" t="s">
        <v>1032</v>
      </c>
      <c r="F485" s="10" t="s">
        <v>999</v>
      </c>
      <c r="G485" s="10" t="s">
        <v>1194</v>
      </c>
      <c r="H485" s="9" t="s">
        <v>17</v>
      </c>
    </row>
    <row r="486" spans="2:8" ht="30" x14ac:dyDescent="0.3">
      <c r="B486" s="18" t="str">
        <f>IFERROR(_xlfn.XLOOKUP(D486,'Historias de Usuario'!C:C,'Historias de Usuario'!B:B, "Selecciona una historia"), "")</f>
        <v>Gestión de Cuartel de Bomberos</v>
      </c>
      <c r="C486" s="10" t="str">
        <f>IFERROR(_xlfn.XLOOKUP(D486,'Historias de Usuario'!C:C,'Historias de Usuario'!D:D, "Selecciona una historia"), "")</f>
        <v>Como Jefe Cuartel quiero crear un nuevo vehículo para mantener actualizado el registro de la flota</v>
      </c>
      <c r="D486" s="22" t="s">
        <v>930</v>
      </c>
      <c r="E486" s="21" t="s">
        <v>1046</v>
      </c>
      <c r="F486" s="10" t="s">
        <v>1000</v>
      </c>
      <c r="G486" s="10" t="s">
        <v>1194</v>
      </c>
      <c r="H486" s="9" t="s">
        <v>17</v>
      </c>
    </row>
    <row r="487" spans="2:8" ht="30" x14ac:dyDescent="0.3">
      <c r="B487" s="18" t="str">
        <f>IFERROR(_xlfn.XLOOKUP(D487,'Historias de Usuario'!C:C,'Historias de Usuario'!B:B, "Selecciona una historia"), "")</f>
        <v>Gestión de Cuartel de Bomberos</v>
      </c>
      <c r="C487" s="10" t="str">
        <f>IFERROR(_xlfn.XLOOKUP(D487,'Historias de Usuario'!C:C,'Historias de Usuario'!D:D, "Selecciona una historia"), "")</f>
        <v>Como Jefe Cuartel quiero crear un nuevo vehículo para mantener actualizado el registro de la flota</v>
      </c>
      <c r="D487" s="22" t="s">
        <v>930</v>
      </c>
      <c r="E487" s="21" t="s">
        <v>1047</v>
      </c>
      <c r="F487" s="10" t="s">
        <v>1001</v>
      </c>
      <c r="G487" s="10" t="s">
        <v>1194</v>
      </c>
      <c r="H487" s="9" t="s">
        <v>17</v>
      </c>
    </row>
    <row r="488" spans="2:8" ht="30" x14ac:dyDescent="0.3">
      <c r="B488" s="18" t="str">
        <f>IFERROR(_xlfn.XLOOKUP(D488,'Historias de Usuario'!C:C,'Historias de Usuario'!B:B, "Selecciona una historia"), "")</f>
        <v>Gestión de Cuartel de Bomberos</v>
      </c>
      <c r="C488" s="10" t="str">
        <f>IFERROR(_xlfn.XLOOKUP(D488,'Historias de Usuario'!C:C,'Historias de Usuario'!D:D, "Selecciona una historia"), "")</f>
        <v>Como Jefe Cuartel quiero crear un nuevo vehículo para mantener actualizado el registro de la flota</v>
      </c>
      <c r="D488" s="22" t="s">
        <v>930</v>
      </c>
      <c r="E488" s="21" t="s">
        <v>1048</v>
      </c>
      <c r="F488" s="10" t="s">
        <v>1002</v>
      </c>
      <c r="G488" s="10" t="s">
        <v>1194</v>
      </c>
      <c r="H488" s="9" t="s">
        <v>17</v>
      </c>
    </row>
    <row r="489" spans="2:8" ht="30" x14ac:dyDescent="0.3">
      <c r="B489" s="18" t="str">
        <f>IFERROR(_xlfn.XLOOKUP(D489,'Historias de Usuario'!C:C,'Historias de Usuario'!B:B, "Selecciona una historia"), "")</f>
        <v>Gestión de Cuartel de Bomberos</v>
      </c>
      <c r="C489" s="10" t="str">
        <f>IFERROR(_xlfn.XLOOKUP(D489,'Historias de Usuario'!C:C,'Historias de Usuario'!D:D, "Selecciona una historia"), "")</f>
        <v>Como Jefe Cuartel quiero crear un nuevo vehículo para mantener actualizado el registro de la flota</v>
      </c>
      <c r="D489" s="22" t="s">
        <v>930</v>
      </c>
      <c r="E489" s="21" t="s">
        <v>1049</v>
      </c>
      <c r="F489" s="10" t="s">
        <v>1003</v>
      </c>
      <c r="G489" s="10" t="s">
        <v>1194</v>
      </c>
      <c r="H489" s="9" t="s">
        <v>17</v>
      </c>
    </row>
    <row r="490" spans="2:8" ht="30" x14ac:dyDescent="0.3">
      <c r="B490" s="18" t="str">
        <f>IFERROR(_xlfn.XLOOKUP(D490,'Historias de Usuario'!C:C,'Historias de Usuario'!B:B, "Selecciona una historia"), "")</f>
        <v>Gestión de Cuartel de Bomberos</v>
      </c>
      <c r="C490" s="10" t="str">
        <f>IFERROR(_xlfn.XLOOKUP(D490,'Historias de Usuario'!C:C,'Historias de Usuario'!D:D, "Selecciona una historia"), "")</f>
        <v>Como Jefe Cuartel quiero crear un nuevo vehículo para mantener actualizado el registro de la flota</v>
      </c>
      <c r="D490" s="22" t="s">
        <v>930</v>
      </c>
      <c r="E490" s="21" t="s">
        <v>1050</v>
      </c>
      <c r="F490" s="10" t="s">
        <v>1004</v>
      </c>
      <c r="G490" s="10" t="s">
        <v>1194</v>
      </c>
      <c r="H490" s="9" t="s">
        <v>17</v>
      </c>
    </row>
    <row r="491" spans="2:8" ht="30" x14ac:dyDescent="0.3">
      <c r="B491" s="18" t="str">
        <f>IFERROR(_xlfn.XLOOKUP(D491,'Historias de Usuario'!C:C,'Historias de Usuario'!B:B, "Selecciona una historia"), "")</f>
        <v>Gestión de Cuartel de Bomberos</v>
      </c>
      <c r="C491" s="10" t="str">
        <f>IFERROR(_xlfn.XLOOKUP(D491,'Historias de Usuario'!C:C,'Historias de Usuario'!D:D, "Selecciona una historia"), "")</f>
        <v>Como Jefe Cuartel quiero crear un nuevo vehículo para mantener actualizado el registro de la flota</v>
      </c>
      <c r="D491" s="22" t="s">
        <v>930</v>
      </c>
      <c r="E491" s="21" t="s">
        <v>1051</v>
      </c>
      <c r="F491" s="10" t="s">
        <v>1005</v>
      </c>
      <c r="G491" s="10" t="s">
        <v>1194</v>
      </c>
      <c r="H491" s="9" t="s">
        <v>17</v>
      </c>
    </row>
    <row r="492" spans="2:8" ht="30" x14ac:dyDescent="0.3">
      <c r="B492" s="18" t="str">
        <f>IFERROR(_xlfn.XLOOKUP(D492,'Historias de Usuario'!C:C,'Historias de Usuario'!B:B, "Selecciona una historia"), "")</f>
        <v>Gestión de Cuartel de Bomberos</v>
      </c>
      <c r="C492" s="10" t="str">
        <f>IFERROR(_xlfn.XLOOKUP(D492,'Historias de Usuario'!C:C,'Historias de Usuario'!D:D, "Selecciona una historia"), "")</f>
        <v>Como Jefe Cuartel quiero crear un nuevo vehículo para mantener actualizado el registro de la flota</v>
      </c>
      <c r="D492" s="22" t="s">
        <v>930</v>
      </c>
      <c r="E492" s="21" t="s">
        <v>1052</v>
      </c>
      <c r="F492" s="10" t="s">
        <v>1006</v>
      </c>
      <c r="G492" s="10" t="s">
        <v>1194</v>
      </c>
      <c r="H492" s="9" t="s">
        <v>17</v>
      </c>
    </row>
    <row r="493" spans="2:8" ht="30" x14ac:dyDescent="0.3">
      <c r="B493" s="18" t="str">
        <f>IFERROR(_xlfn.XLOOKUP(D493,'Historias de Usuario'!C:C,'Historias de Usuario'!B:B, "Selecciona una historia"), "")</f>
        <v>Gestión de Cuartel de Bomberos</v>
      </c>
      <c r="C493" s="10" t="str">
        <f>IFERROR(_xlfn.XLOOKUP(D493,'Historias de Usuario'!C:C,'Historias de Usuario'!D:D, "Selecciona una historia"), "")</f>
        <v>Como Jefe Cuartel quiero crear un nuevo vehículo para mantener actualizado el registro de la flota</v>
      </c>
      <c r="D493" s="22" t="s">
        <v>930</v>
      </c>
      <c r="E493" s="21" t="s">
        <v>1053</v>
      </c>
      <c r="F493" s="10" t="s">
        <v>1007</v>
      </c>
      <c r="G493" s="10" t="s">
        <v>1194</v>
      </c>
      <c r="H493" s="9" t="s">
        <v>17</v>
      </c>
    </row>
    <row r="494" spans="2:8" ht="30" x14ac:dyDescent="0.3">
      <c r="B494" s="18" t="str">
        <f>IFERROR(_xlfn.XLOOKUP(D494,'Historias de Usuario'!C:C,'Historias de Usuario'!B:B, "Selecciona una historia"), "")</f>
        <v>Gestión de Cuartel de Bomberos</v>
      </c>
      <c r="C494" s="10" t="str">
        <f>IFERROR(_xlfn.XLOOKUP(D494,'Historias de Usuario'!C:C,'Historias de Usuario'!D:D, "Selecciona una historia"), "")</f>
        <v>Como Jefe Cuartel quiero crear un nuevo vehículo para mantener actualizado el registro de la flota</v>
      </c>
      <c r="D494" s="22" t="s">
        <v>930</v>
      </c>
      <c r="E494" s="21" t="s">
        <v>1054</v>
      </c>
      <c r="F494" s="10" t="s">
        <v>1008</v>
      </c>
      <c r="G494" s="10" t="s">
        <v>1194</v>
      </c>
      <c r="H494" s="9" t="s">
        <v>17</v>
      </c>
    </row>
    <row r="495" spans="2:8" ht="30" x14ac:dyDescent="0.3">
      <c r="B495" s="18" t="str">
        <f>IFERROR(_xlfn.XLOOKUP(D495,'Historias de Usuario'!C:C,'Historias de Usuario'!B:B, "Selecciona una historia"), "")</f>
        <v>Gestión de Cuartel de Bomberos</v>
      </c>
      <c r="C495" s="10" t="str">
        <f>IFERROR(_xlfn.XLOOKUP(D495,'Historias de Usuario'!C:C,'Historias de Usuario'!D:D, "Selecciona una historia"), "")</f>
        <v>Como Jefe Cuartel quiero crear un nuevo vehículo para mantener actualizado el registro de la flota</v>
      </c>
      <c r="D495" s="22" t="s">
        <v>930</v>
      </c>
      <c r="E495" s="21" t="s">
        <v>1055</v>
      </c>
      <c r="F495" s="10" t="s">
        <v>1009</v>
      </c>
      <c r="G495" s="10" t="s">
        <v>1194</v>
      </c>
      <c r="H495" s="9" t="s">
        <v>17</v>
      </c>
    </row>
    <row r="496" spans="2:8" ht="30" x14ac:dyDescent="0.3">
      <c r="B496" s="20" t="str">
        <f>IFERROR(_xlfn.XLOOKUP(D496,'Historias de Usuario'!C:C,'Historias de Usuario'!B:B, "Selecciona una historia"), "")</f>
        <v>Gestión de Cuartel de Bomberos</v>
      </c>
      <c r="C496" s="21" t="str">
        <f>IFERROR(_xlfn.XLOOKUP(D496,'Historias de Usuario'!C:C,'Historias de Usuario'!D:D, "Selecciona una historia"), "")</f>
        <v>Como Jede Cuartel quiero editar la información de un vehículo para mantener los datos actualizados</v>
      </c>
      <c r="D496" s="22" t="s">
        <v>931</v>
      </c>
      <c r="E496" s="21" t="s">
        <v>1056</v>
      </c>
      <c r="F496" s="21" t="s">
        <v>1033</v>
      </c>
      <c r="G496" s="10" t="s">
        <v>1194</v>
      </c>
      <c r="H496" s="22" t="s">
        <v>17</v>
      </c>
    </row>
    <row r="497" spans="2:8" ht="30" x14ac:dyDescent="0.3">
      <c r="B497" s="18" t="str">
        <f>IFERROR(_xlfn.XLOOKUP(D497,'Historias de Usuario'!C:C,'Historias de Usuario'!B:B, "Selecciona una historia"), "")</f>
        <v>Gestión de Cuartel de Bomberos</v>
      </c>
      <c r="C497" s="10" t="str">
        <f>IFERROR(_xlfn.XLOOKUP(D497,'Historias de Usuario'!C:C,'Historias de Usuario'!D:D, "Selecciona una historia"), "")</f>
        <v>Como Jede Cuartel quiero editar la información de un vehículo para mantener los datos actualizados</v>
      </c>
      <c r="D497" s="22" t="s">
        <v>931</v>
      </c>
      <c r="E497" s="21" t="s">
        <v>1057</v>
      </c>
      <c r="F497" s="10" t="s">
        <v>1034</v>
      </c>
      <c r="G497" s="10" t="s">
        <v>1194</v>
      </c>
      <c r="H497" s="9" t="s">
        <v>17</v>
      </c>
    </row>
    <row r="498" spans="2:8" ht="30" x14ac:dyDescent="0.3">
      <c r="B498" s="18" t="str">
        <f>IFERROR(_xlfn.XLOOKUP(D498,'Historias de Usuario'!C:C,'Historias de Usuario'!B:B, "Selecciona una historia"), "")</f>
        <v>Gestión de Cuartel de Bomberos</v>
      </c>
      <c r="C498" s="10" t="str">
        <f>IFERROR(_xlfn.XLOOKUP(D498,'Historias de Usuario'!C:C,'Historias de Usuario'!D:D, "Selecciona una historia"), "")</f>
        <v>Como Jede Cuartel quiero editar la información de un vehículo para mantener los datos actualizados</v>
      </c>
      <c r="D498" s="22" t="s">
        <v>931</v>
      </c>
      <c r="E498" s="21" t="s">
        <v>1058</v>
      </c>
      <c r="F498" s="10" t="s">
        <v>1035</v>
      </c>
      <c r="G498" s="10" t="s">
        <v>1194</v>
      </c>
      <c r="H498" s="9" t="s">
        <v>17</v>
      </c>
    </row>
    <row r="499" spans="2:8" ht="30" x14ac:dyDescent="0.3">
      <c r="B499" s="18" t="str">
        <f>IFERROR(_xlfn.XLOOKUP(D499,'Historias de Usuario'!C:C,'Historias de Usuario'!B:B, "Selecciona una historia"), "")</f>
        <v>Gestión de Cuartel de Bomberos</v>
      </c>
      <c r="C499" s="10" t="str">
        <f>IFERROR(_xlfn.XLOOKUP(D499,'Historias de Usuario'!C:C,'Historias de Usuario'!D:D, "Selecciona una historia"), "")</f>
        <v>Como Jede Cuartel quiero editar la información de un vehículo para mantener los datos actualizados</v>
      </c>
      <c r="D499" s="22" t="s">
        <v>931</v>
      </c>
      <c r="E499" s="21" t="s">
        <v>1064</v>
      </c>
      <c r="F499" s="10" t="s">
        <v>1036</v>
      </c>
      <c r="G499" s="10" t="s">
        <v>1194</v>
      </c>
      <c r="H499" s="9" t="s">
        <v>17</v>
      </c>
    </row>
    <row r="500" spans="2:8" ht="30" x14ac:dyDescent="0.3">
      <c r="B500" s="18" t="str">
        <f>IFERROR(_xlfn.XLOOKUP(D500,'Historias de Usuario'!C:C,'Historias de Usuario'!B:B, "Selecciona una historia"), "")</f>
        <v>Gestión de Cuartel de Bomberos</v>
      </c>
      <c r="C500" s="10" t="str">
        <f>IFERROR(_xlfn.XLOOKUP(D500,'Historias de Usuario'!C:C,'Historias de Usuario'!D:D, "Selecciona una historia"), "")</f>
        <v>Como Jede Cuartel quiero editar la información de un vehículo para mantener los datos actualizados</v>
      </c>
      <c r="D500" s="22" t="s">
        <v>931</v>
      </c>
      <c r="E500" s="21" t="s">
        <v>1065</v>
      </c>
      <c r="F500" s="10" t="s">
        <v>1037</v>
      </c>
      <c r="G500" s="10" t="s">
        <v>1194</v>
      </c>
      <c r="H500" s="9" t="s">
        <v>17</v>
      </c>
    </row>
    <row r="501" spans="2:8" ht="30" x14ac:dyDescent="0.3">
      <c r="B501" s="18" t="str">
        <f>IFERROR(_xlfn.XLOOKUP(D501,'Historias de Usuario'!C:C,'Historias de Usuario'!B:B, "Selecciona una historia"), "")</f>
        <v>Gestión de Cuartel de Bomberos</v>
      </c>
      <c r="C501" s="10" t="str">
        <f>IFERROR(_xlfn.XLOOKUP(D501,'Historias de Usuario'!C:C,'Historias de Usuario'!D:D, "Selecciona una historia"), "")</f>
        <v>Como Jede Cuartel quiero editar la información de un vehículo para mantener los datos actualizados</v>
      </c>
      <c r="D501" s="22" t="s">
        <v>931</v>
      </c>
      <c r="E501" s="21" t="s">
        <v>1066</v>
      </c>
      <c r="F501" s="10" t="s">
        <v>1038</v>
      </c>
      <c r="G501" s="10" t="s">
        <v>1194</v>
      </c>
      <c r="H501" s="9" t="s">
        <v>17</v>
      </c>
    </row>
    <row r="502" spans="2:8" ht="30" x14ac:dyDescent="0.3">
      <c r="B502" s="18" t="str">
        <f>IFERROR(_xlfn.XLOOKUP(D502,'Historias de Usuario'!C:C,'Historias de Usuario'!B:B, "Selecciona una historia"), "")</f>
        <v>Gestión de Cuartel de Bomberos</v>
      </c>
      <c r="C502" s="10" t="str">
        <f>IFERROR(_xlfn.XLOOKUP(D502,'Historias de Usuario'!C:C,'Historias de Usuario'!D:D, "Selecciona una historia"), "")</f>
        <v>Como Jede Cuartel quiero editar la información de un vehículo para mantener los datos actualizados</v>
      </c>
      <c r="D502" s="22" t="s">
        <v>931</v>
      </c>
      <c r="E502" s="21" t="s">
        <v>1067</v>
      </c>
      <c r="F502" s="10" t="s">
        <v>1039</v>
      </c>
      <c r="G502" s="10" t="s">
        <v>1194</v>
      </c>
      <c r="H502" s="9" t="s">
        <v>17</v>
      </c>
    </row>
    <row r="503" spans="2:8" ht="30" x14ac:dyDescent="0.3">
      <c r="B503" s="18" t="str">
        <f>IFERROR(_xlfn.XLOOKUP(D503,'Historias de Usuario'!C:C,'Historias de Usuario'!B:B, "Selecciona una historia"), "")</f>
        <v>Gestión de Cuartel de Bomberos</v>
      </c>
      <c r="C503" s="10" t="str">
        <f>IFERROR(_xlfn.XLOOKUP(D503,'Historias de Usuario'!C:C,'Historias de Usuario'!D:D, "Selecciona una historia"), "")</f>
        <v>Como Jede Cuartel quiero editar la información de un vehículo para mantener los datos actualizados</v>
      </c>
      <c r="D503" s="22" t="s">
        <v>931</v>
      </c>
      <c r="E503" s="21" t="s">
        <v>1068</v>
      </c>
      <c r="F503" s="10" t="s">
        <v>1040</v>
      </c>
      <c r="G503" s="10" t="s">
        <v>1194</v>
      </c>
      <c r="H503" s="9" t="s">
        <v>17</v>
      </c>
    </row>
    <row r="504" spans="2:8" ht="30" x14ac:dyDescent="0.3">
      <c r="B504" s="18" t="str">
        <f>IFERROR(_xlfn.XLOOKUP(D504,'Historias de Usuario'!C:C,'Historias de Usuario'!B:B, "Selecciona una historia"), "")</f>
        <v>Gestión de Cuartel de Bomberos</v>
      </c>
      <c r="C504" s="10" t="str">
        <f>IFERROR(_xlfn.XLOOKUP(D504,'Historias de Usuario'!C:C,'Historias de Usuario'!D:D, "Selecciona una historia"), "")</f>
        <v>Como Jede Cuartel quiero editar la información de un vehículo para mantener los datos actualizados</v>
      </c>
      <c r="D504" s="22" t="s">
        <v>931</v>
      </c>
      <c r="E504" s="21" t="s">
        <v>1069</v>
      </c>
      <c r="F504" s="10" t="s">
        <v>1041</v>
      </c>
      <c r="G504" s="10" t="s">
        <v>1194</v>
      </c>
      <c r="H504" s="9" t="s">
        <v>17</v>
      </c>
    </row>
    <row r="505" spans="2:8" ht="30" x14ac:dyDescent="0.3">
      <c r="B505" s="18" t="str">
        <f>IFERROR(_xlfn.XLOOKUP(D505,'Historias de Usuario'!C:C,'Historias de Usuario'!B:B, "Selecciona una historia"), "")</f>
        <v>Gestión de Cuartel de Bomberos</v>
      </c>
      <c r="C505" s="10" t="str">
        <f>IFERROR(_xlfn.XLOOKUP(D505,'Historias de Usuario'!C:C,'Historias de Usuario'!D:D, "Selecciona una historia"), "")</f>
        <v>Como Jede Cuartel quiero editar la información de un vehículo para mantener los datos actualizados</v>
      </c>
      <c r="D505" s="22" t="s">
        <v>931</v>
      </c>
      <c r="E505" s="21" t="s">
        <v>1076</v>
      </c>
      <c r="F505" s="10" t="s">
        <v>1042</v>
      </c>
      <c r="G505" s="10" t="s">
        <v>1194</v>
      </c>
      <c r="H505" s="9" t="s">
        <v>17</v>
      </c>
    </row>
    <row r="506" spans="2:8" ht="30" x14ac:dyDescent="0.3">
      <c r="B506" s="18" t="str">
        <f>IFERROR(_xlfn.XLOOKUP(D506,'Historias de Usuario'!C:C,'Historias de Usuario'!B:B, "Selecciona una historia"), "")</f>
        <v>Gestión de Cuartel de Bomberos</v>
      </c>
      <c r="C506" s="10" t="str">
        <f>IFERROR(_xlfn.XLOOKUP(D506,'Historias de Usuario'!C:C,'Historias de Usuario'!D:D, "Selecciona una historia"), "")</f>
        <v>Como Jede Cuartel quiero editar la información de un vehículo para mantener los datos actualizados</v>
      </c>
      <c r="D506" s="22" t="s">
        <v>931</v>
      </c>
      <c r="E506" s="21" t="s">
        <v>1077</v>
      </c>
      <c r="F506" s="10" t="s">
        <v>1043</v>
      </c>
      <c r="G506" s="10" t="s">
        <v>1194</v>
      </c>
      <c r="H506" s="9" t="s">
        <v>17</v>
      </c>
    </row>
    <row r="507" spans="2:8" ht="30" x14ac:dyDescent="0.3">
      <c r="B507" s="18" t="str">
        <f>IFERROR(_xlfn.XLOOKUP(D507,'Historias de Usuario'!C:C,'Historias de Usuario'!B:B, "Selecciona una historia"), "")</f>
        <v>Gestión de Cuartel de Bomberos</v>
      </c>
      <c r="C507" s="10" t="str">
        <f>IFERROR(_xlfn.XLOOKUP(D507,'Historias de Usuario'!C:C,'Historias de Usuario'!D:D, "Selecciona una historia"), "")</f>
        <v>Como Jede Cuartel quiero editar la información de un vehículo para mantener los datos actualizados</v>
      </c>
      <c r="D507" s="22" t="s">
        <v>931</v>
      </c>
      <c r="E507" s="21" t="s">
        <v>1078</v>
      </c>
      <c r="F507" s="10" t="s">
        <v>1044</v>
      </c>
      <c r="G507" s="10" t="s">
        <v>1194</v>
      </c>
      <c r="H507" s="9" t="s">
        <v>17</v>
      </c>
    </row>
    <row r="508" spans="2:8" ht="30" x14ac:dyDescent="0.3">
      <c r="B508" s="18" t="str">
        <f>IFERROR(_xlfn.XLOOKUP(D508,'Historias de Usuario'!C:C,'Historias de Usuario'!B:B, "Selecciona una historia"), "")</f>
        <v>Gestión de Cuartel de Bomberos</v>
      </c>
      <c r="C508" s="10" t="str">
        <f>IFERROR(_xlfn.XLOOKUP(D508,'Historias de Usuario'!C:C,'Historias de Usuario'!D:D, "Selecciona una historia"), "")</f>
        <v>Como Jede Cuartel quiero editar la información de un vehículo para mantener los datos actualizados</v>
      </c>
      <c r="D508" s="22" t="s">
        <v>931</v>
      </c>
      <c r="E508" s="21" t="s">
        <v>1079</v>
      </c>
      <c r="F508" s="10" t="s">
        <v>1045</v>
      </c>
      <c r="G508" s="10" t="s">
        <v>1194</v>
      </c>
      <c r="H508" s="9" t="s">
        <v>17</v>
      </c>
    </row>
    <row r="509" spans="2:8" ht="30" x14ac:dyDescent="0.3">
      <c r="B509" s="20" t="str">
        <f>IFERROR(_xlfn.XLOOKUP(D509,'Historias de Usuario'!C:C,'Historias de Usuario'!B:B, "Selecciona una historia"), "")</f>
        <v>Gestión de Cuartel de Bomberos</v>
      </c>
      <c r="C509" s="21" t="str">
        <f>IFERROR(_xlfn.XLOOKUP(D509,'Historias de Usuario'!C:C,'Historias de Usuario'!D:D, "Selecciona una historia"), "")</f>
        <v>Como Jefe Cuartel quiero eliminar un vehículo del registro para mantener solo información relevante</v>
      </c>
      <c r="D509" s="22" t="s">
        <v>932</v>
      </c>
      <c r="E509" s="21" t="s">
        <v>1080</v>
      </c>
      <c r="F509" s="21" t="s">
        <v>180</v>
      </c>
      <c r="G509" s="10" t="s">
        <v>1194</v>
      </c>
      <c r="H509" s="22" t="s">
        <v>17</v>
      </c>
    </row>
    <row r="510" spans="2:8" ht="30" x14ac:dyDescent="0.3">
      <c r="B510" s="18" t="str">
        <f>IFERROR(_xlfn.XLOOKUP(D510,'Historias de Usuario'!C:C,'Historias de Usuario'!B:B, "Selecciona una historia"), "")</f>
        <v>Gestión de Cuartel de Bomberos</v>
      </c>
      <c r="C510" s="10" t="str">
        <f>IFERROR(_xlfn.XLOOKUP(D510,'Historias de Usuario'!C:C,'Historias de Usuario'!D:D, "Selecciona una historia"), "")</f>
        <v>Como Jefe Cuartel quiero eliminar un vehículo del registro para mantener solo información relevante</v>
      </c>
      <c r="D510" s="22" t="s">
        <v>932</v>
      </c>
      <c r="E510" s="21" t="s">
        <v>1081</v>
      </c>
      <c r="F510" s="10" t="s">
        <v>1059</v>
      </c>
      <c r="G510" s="10" t="s">
        <v>1194</v>
      </c>
      <c r="H510" s="9" t="s">
        <v>17</v>
      </c>
    </row>
    <row r="511" spans="2:8" ht="30" x14ac:dyDescent="0.3">
      <c r="B511" s="18" t="str">
        <f>IFERROR(_xlfn.XLOOKUP(D511,'Historias de Usuario'!C:C,'Historias de Usuario'!B:B, "Selecciona una historia"), "")</f>
        <v>Gestión de Cuartel de Bomberos</v>
      </c>
      <c r="C511" s="10" t="str">
        <f>IFERROR(_xlfn.XLOOKUP(D511,'Historias de Usuario'!C:C,'Historias de Usuario'!D:D, "Selecciona una historia"), "")</f>
        <v>Como Jefe Cuartel quiero eliminar un vehículo del registro para mantener solo información relevante</v>
      </c>
      <c r="D511" s="22" t="s">
        <v>932</v>
      </c>
      <c r="E511" s="21" t="s">
        <v>1089</v>
      </c>
      <c r="F511" s="10" t="s">
        <v>1060</v>
      </c>
      <c r="G511" s="10" t="s">
        <v>1194</v>
      </c>
      <c r="H511" s="9" t="s">
        <v>17</v>
      </c>
    </row>
    <row r="512" spans="2:8" ht="30" x14ac:dyDescent="0.3">
      <c r="B512" s="18" t="str">
        <f>IFERROR(_xlfn.XLOOKUP(D512,'Historias de Usuario'!C:C,'Historias de Usuario'!B:B, "Selecciona una historia"), "")</f>
        <v>Gestión de Cuartel de Bomberos</v>
      </c>
      <c r="C512" s="10" t="str">
        <f>IFERROR(_xlfn.XLOOKUP(D512,'Historias de Usuario'!C:C,'Historias de Usuario'!D:D, "Selecciona una historia"), "")</f>
        <v>Como Jefe Cuartel quiero eliminar un vehículo del registro para mantener solo información relevante</v>
      </c>
      <c r="D512" s="22" t="s">
        <v>932</v>
      </c>
      <c r="E512" s="21" t="s">
        <v>1090</v>
      </c>
      <c r="F512" s="10" t="s">
        <v>1061</v>
      </c>
      <c r="G512" s="10" t="s">
        <v>1194</v>
      </c>
      <c r="H512" s="9" t="s">
        <v>17</v>
      </c>
    </row>
    <row r="513" spans="2:8" ht="30" x14ac:dyDescent="0.3">
      <c r="B513" s="18" t="str">
        <f>IFERROR(_xlfn.XLOOKUP(D513,'Historias de Usuario'!C:C,'Historias de Usuario'!B:B, "Selecciona una historia"), "")</f>
        <v>Gestión de Cuartel de Bomberos</v>
      </c>
      <c r="C513" s="10" t="str">
        <f>IFERROR(_xlfn.XLOOKUP(D513,'Historias de Usuario'!C:C,'Historias de Usuario'!D:D, "Selecciona una historia"), "")</f>
        <v>Como Jefe Cuartel quiero eliminar un vehículo del registro para mantener solo información relevante</v>
      </c>
      <c r="D513" s="22" t="s">
        <v>932</v>
      </c>
      <c r="E513" s="21" t="s">
        <v>1091</v>
      </c>
      <c r="F513" s="10" t="s">
        <v>1062</v>
      </c>
      <c r="G513" s="10" t="s">
        <v>1194</v>
      </c>
      <c r="H513" s="9" t="s">
        <v>17</v>
      </c>
    </row>
    <row r="514" spans="2:8" ht="30" x14ac:dyDescent="0.3">
      <c r="B514" s="18" t="str">
        <f>IFERROR(_xlfn.XLOOKUP(D514,'Historias de Usuario'!C:C,'Historias de Usuario'!B:B, "Selecciona una historia"), "")</f>
        <v>Gestión de Cuartel de Bomberos</v>
      </c>
      <c r="C514" s="10" t="str">
        <f>IFERROR(_xlfn.XLOOKUP(D514,'Historias de Usuario'!C:C,'Historias de Usuario'!D:D, "Selecciona una historia"), "")</f>
        <v>Como Jefe Cuartel quiero eliminar un vehículo del registro para mantener solo información relevante</v>
      </c>
      <c r="D514" s="22" t="s">
        <v>932</v>
      </c>
      <c r="E514" s="21" t="s">
        <v>1092</v>
      </c>
      <c r="F514" s="10" t="s">
        <v>1063</v>
      </c>
      <c r="G514" s="10" t="s">
        <v>1194</v>
      </c>
      <c r="H514" s="9" t="s">
        <v>32</v>
      </c>
    </row>
    <row r="515" spans="2:8" ht="43.2" x14ac:dyDescent="0.3">
      <c r="B515" s="20" t="str">
        <f>IFERROR(_xlfn.XLOOKUP(D515,'Historias de Usuario'!C:C,'Historias de Usuario'!B:B, "Selecciona una historia"), "")</f>
        <v>Gestión de Cuartel de Bomberos</v>
      </c>
      <c r="C515" s="21" t="str">
        <f>IFERROR(_xlfn.XLOOKUP(D515,'Historias de Usuario'!C:C,'Historias de Usuario'!D:D, "Selecciona una historia"), "")</f>
        <v>Como Jefe Cuartel quiero ver el historial de cambios de estado de un vehículo para conocer su trayectoria de mantenimiento</v>
      </c>
      <c r="D515" s="22" t="s">
        <v>933</v>
      </c>
      <c r="E515" s="21" t="s">
        <v>1093</v>
      </c>
      <c r="F515" s="21" t="s">
        <v>1070</v>
      </c>
      <c r="G515" s="10" t="s">
        <v>1194</v>
      </c>
      <c r="H515" s="22" t="s">
        <v>17</v>
      </c>
    </row>
    <row r="516" spans="2:8" ht="43.2" x14ac:dyDescent="0.3">
      <c r="B516" s="18" t="str">
        <f>IFERROR(_xlfn.XLOOKUP(D516,'Historias de Usuario'!C:C,'Historias de Usuario'!B:B, "Selecciona una historia"), "")</f>
        <v>Gestión de Cuartel de Bomberos</v>
      </c>
      <c r="C516" s="10" t="str">
        <f>IFERROR(_xlfn.XLOOKUP(D516,'Historias de Usuario'!C:C,'Historias de Usuario'!D:D, "Selecciona una historia"), "")</f>
        <v>Como Jefe Cuartel quiero ver el historial de cambios de estado de un vehículo para conocer su trayectoria de mantenimiento</v>
      </c>
      <c r="D516" s="22" t="s">
        <v>933</v>
      </c>
      <c r="E516" s="21" t="s">
        <v>1094</v>
      </c>
      <c r="F516" s="10" t="s">
        <v>1071</v>
      </c>
      <c r="G516" s="10" t="s">
        <v>1194</v>
      </c>
      <c r="H516" s="9" t="s">
        <v>17</v>
      </c>
    </row>
    <row r="517" spans="2:8" ht="43.2" x14ac:dyDescent="0.3">
      <c r="B517" s="18" t="str">
        <f>IFERROR(_xlfn.XLOOKUP(D517,'Historias de Usuario'!C:C,'Historias de Usuario'!B:B, "Selecciona una historia"), "")</f>
        <v>Gestión de Cuartel de Bomberos</v>
      </c>
      <c r="C517" s="10" t="str">
        <f>IFERROR(_xlfn.XLOOKUP(D517,'Historias de Usuario'!C:C,'Historias de Usuario'!D:D, "Selecciona una historia"), "")</f>
        <v>Como Jefe Cuartel quiero ver el historial de cambios de estado de un vehículo para conocer su trayectoria de mantenimiento</v>
      </c>
      <c r="D517" s="22" t="s">
        <v>933</v>
      </c>
      <c r="E517" s="21" t="s">
        <v>1095</v>
      </c>
      <c r="F517" s="10" t="s">
        <v>1072</v>
      </c>
      <c r="G517" s="10" t="s">
        <v>1194</v>
      </c>
      <c r="H517" s="9" t="s">
        <v>17</v>
      </c>
    </row>
    <row r="518" spans="2:8" ht="43.2" x14ac:dyDescent="0.3">
      <c r="B518" s="18" t="str">
        <f>IFERROR(_xlfn.XLOOKUP(D518,'Historias de Usuario'!C:C,'Historias de Usuario'!B:B, "Selecciona una historia"), "")</f>
        <v>Gestión de Cuartel de Bomberos</v>
      </c>
      <c r="C518" s="10" t="str">
        <f>IFERROR(_xlfn.XLOOKUP(D518,'Historias de Usuario'!C:C,'Historias de Usuario'!D:D, "Selecciona una historia"), "")</f>
        <v>Como Jefe Cuartel quiero ver el historial de cambios de estado de un vehículo para conocer su trayectoria de mantenimiento</v>
      </c>
      <c r="D518" s="22" t="s">
        <v>933</v>
      </c>
      <c r="E518" s="21" t="s">
        <v>1096</v>
      </c>
      <c r="F518" s="10" t="s">
        <v>1073</v>
      </c>
      <c r="G518" s="10" t="s">
        <v>1194</v>
      </c>
      <c r="H518" s="9" t="s">
        <v>17</v>
      </c>
    </row>
    <row r="519" spans="2:8" ht="43.2" x14ac:dyDescent="0.3">
      <c r="B519" s="18" t="str">
        <f>IFERROR(_xlfn.XLOOKUP(D519,'Historias de Usuario'!C:C,'Historias de Usuario'!B:B, "Selecciona una historia"), "")</f>
        <v>Gestión de Cuartel de Bomberos</v>
      </c>
      <c r="C519" s="10" t="str">
        <f>IFERROR(_xlfn.XLOOKUP(D519,'Historias de Usuario'!C:C,'Historias de Usuario'!D:D, "Selecciona una historia"), "")</f>
        <v>Como Jefe Cuartel quiero ver el historial de cambios de estado de un vehículo para conocer su trayectoria de mantenimiento</v>
      </c>
      <c r="D519" s="22" t="s">
        <v>933</v>
      </c>
      <c r="E519" s="21" t="s">
        <v>1106</v>
      </c>
      <c r="F519" s="10" t="s">
        <v>1074</v>
      </c>
      <c r="G519" s="10" t="s">
        <v>1194</v>
      </c>
      <c r="H519" s="9" t="s">
        <v>32</v>
      </c>
    </row>
    <row r="520" spans="2:8" ht="43.2" x14ac:dyDescent="0.3">
      <c r="B520" s="18" t="str">
        <f>IFERROR(_xlfn.XLOOKUP(D520,'Historias de Usuario'!C:C,'Historias de Usuario'!B:B, "Selecciona una historia"), "")</f>
        <v>Gestión de Cuartel de Bomberos</v>
      </c>
      <c r="C520" s="10" t="str">
        <f>IFERROR(_xlfn.XLOOKUP(D520,'Historias de Usuario'!C:C,'Historias de Usuario'!D:D, "Selecciona una historia"), "")</f>
        <v>Como Jefe Cuartel quiero ver el historial de cambios de estado de un vehículo para conocer su trayectoria de mantenimiento</v>
      </c>
      <c r="D520" s="22" t="s">
        <v>933</v>
      </c>
      <c r="E520" s="21" t="s">
        <v>1107</v>
      </c>
      <c r="F520" s="10" t="s">
        <v>1075</v>
      </c>
      <c r="G520" s="10" t="s">
        <v>1194</v>
      </c>
      <c r="H520" s="9" t="s">
        <v>17</v>
      </c>
    </row>
    <row r="521" spans="2:8" ht="43.2" x14ac:dyDescent="0.3">
      <c r="B521" s="20" t="str">
        <f>IFERROR(_xlfn.XLOOKUP(D521,'Historias de Usuario'!C:C,'Historias de Usuario'!B:B, "Selecciona una historia"), "")</f>
        <v>Gestión de Cuartel de Bomberos</v>
      </c>
      <c r="C521" s="21" t="str">
        <f>IFERROR(_xlfn.XLOOKUP(D521,'Historias de Usuario'!C:C,'Historias de Usuario'!D:D, "Selecciona una historia"), "")</f>
        <v>Como Jefe Cuartel quiero crear solicitudes de mantenmiento para los vehículos para que sean procesadas por los talleres</v>
      </c>
      <c r="D521" s="22" t="s">
        <v>934</v>
      </c>
      <c r="E521" s="21" t="s">
        <v>1108</v>
      </c>
      <c r="F521" s="21" t="s">
        <v>1082</v>
      </c>
      <c r="G521" s="10" t="s">
        <v>1194</v>
      </c>
      <c r="H521" s="22" t="s">
        <v>17</v>
      </c>
    </row>
    <row r="522" spans="2:8" ht="43.2" x14ac:dyDescent="0.3">
      <c r="B522" s="18" t="str">
        <f>IFERROR(_xlfn.XLOOKUP(D522,'Historias de Usuario'!C:C,'Historias de Usuario'!B:B, "Selecciona una historia"), "")</f>
        <v>Gestión de Cuartel de Bomberos</v>
      </c>
      <c r="C522" s="10" t="str">
        <f>IFERROR(_xlfn.XLOOKUP(D522,'Historias de Usuario'!C:C,'Historias de Usuario'!D:D, "Selecciona una historia"), "")</f>
        <v>Como Jefe Cuartel quiero crear solicitudes de mantenmiento para los vehículos para que sean procesadas por los talleres</v>
      </c>
      <c r="D522" s="22" t="s">
        <v>934</v>
      </c>
      <c r="E522" s="21" t="s">
        <v>1109</v>
      </c>
      <c r="F522" s="10" t="s">
        <v>1083</v>
      </c>
      <c r="G522" s="10" t="s">
        <v>1194</v>
      </c>
      <c r="H522" s="9" t="s">
        <v>17</v>
      </c>
    </row>
    <row r="523" spans="2:8" ht="43.2" x14ac:dyDescent="0.3">
      <c r="B523" s="18" t="str">
        <f>IFERROR(_xlfn.XLOOKUP(D523,'Historias de Usuario'!C:C,'Historias de Usuario'!B:B, "Selecciona una historia"), "")</f>
        <v>Gestión de Cuartel de Bomberos</v>
      </c>
      <c r="C523" s="10" t="str">
        <f>IFERROR(_xlfn.XLOOKUP(D523,'Historias de Usuario'!C:C,'Historias de Usuario'!D:D, "Selecciona una historia"), "")</f>
        <v>Como Jefe Cuartel quiero crear solicitudes de mantenmiento para los vehículos para que sean procesadas por los talleres</v>
      </c>
      <c r="D523" s="22" t="s">
        <v>934</v>
      </c>
      <c r="E523" s="21" t="s">
        <v>1110</v>
      </c>
      <c r="F523" s="10" t="s">
        <v>1084</v>
      </c>
      <c r="G523" s="10" t="s">
        <v>1194</v>
      </c>
      <c r="H523" s="9" t="s">
        <v>32</v>
      </c>
    </row>
    <row r="524" spans="2:8" ht="43.2" x14ac:dyDescent="0.3">
      <c r="B524" s="18" t="str">
        <f>IFERROR(_xlfn.XLOOKUP(D524,'Historias de Usuario'!C:C,'Historias de Usuario'!B:B, "Selecciona una historia"), "")</f>
        <v>Gestión de Cuartel de Bomberos</v>
      </c>
      <c r="C524" s="10" t="str">
        <f>IFERROR(_xlfn.XLOOKUP(D524,'Historias de Usuario'!C:C,'Historias de Usuario'!D:D, "Selecciona una historia"), "")</f>
        <v>Como Jefe Cuartel quiero crear solicitudes de mantenmiento para los vehículos para que sean procesadas por los talleres</v>
      </c>
      <c r="D524" s="22" t="s">
        <v>934</v>
      </c>
      <c r="E524" s="21" t="s">
        <v>1111</v>
      </c>
      <c r="F524" s="10" t="s">
        <v>1085</v>
      </c>
      <c r="G524" s="10" t="s">
        <v>1194</v>
      </c>
      <c r="H524" s="9" t="s">
        <v>17</v>
      </c>
    </row>
    <row r="525" spans="2:8" ht="43.2" x14ac:dyDescent="0.3">
      <c r="B525" s="18" t="str">
        <f>IFERROR(_xlfn.XLOOKUP(D525,'Historias de Usuario'!C:C,'Historias de Usuario'!B:B, "Selecciona una historia"), "")</f>
        <v>Gestión de Cuartel de Bomberos</v>
      </c>
      <c r="C525" s="10" t="str">
        <f>IFERROR(_xlfn.XLOOKUP(D525,'Historias de Usuario'!C:C,'Historias de Usuario'!D:D, "Selecciona una historia"), "")</f>
        <v>Como Jefe Cuartel quiero crear solicitudes de mantenmiento para los vehículos para que sean procesadas por los talleres</v>
      </c>
      <c r="D525" s="22" t="s">
        <v>934</v>
      </c>
      <c r="E525" s="21" t="s">
        <v>1112</v>
      </c>
      <c r="F525" s="10" t="s">
        <v>888</v>
      </c>
      <c r="G525" s="10" t="s">
        <v>1194</v>
      </c>
      <c r="H525" s="9" t="s">
        <v>17</v>
      </c>
    </row>
    <row r="526" spans="2:8" ht="43.2" x14ac:dyDescent="0.3">
      <c r="B526" s="18" t="str">
        <f>IFERROR(_xlfn.XLOOKUP(D526,'Historias de Usuario'!C:C,'Historias de Usuario'!B:B, "Selecciona una historia"), "")</f>
        <v>Gestión de Cuartel de Bomberos</v>
      </c>
      <c r="C526" s="10" t="str">
        <f>IFERROR(_xlfn.XLOOKUP(D526,'Historias de Usuario'!C:C,'Historias de Usuario'!D:D, "Selecciona una historia"), "")</f>
        <v>Como Jefe Cuartel quiero crear solicitudes de mantenmiento para los vehículos para que sean procesadas por los talleres</v>
      </c>
      <c r="D526" s="22" t="s">
        <v>934</v>
      </c>
      <c r="E526" s="21" t="s">
        <v>1113</v>
      </c>
      <c r="F526" s="10" t="s">
        <v>1086</v>
      </c>
      <c r="G526" s="10" t="s">
        <v>1194</v>
      </c>
      <c r="H526" s="9" t="s">
        <v>17</v>
      </c>
    </row>
    <row r="527" spans="2:8" ht="43.2" x14ac:dyDescent="0.3">
      <c r="B527" s="18" t="str">
        <f>IFERROR(_xlfn.XLOOKUP(D527,'Historias de Usuario'!C:C,'Historias de Usuario'!B:B, "Selecciona una historia"), "")</f>
        <v>Gestión de Cuartel de Bomberos</v>
      </c>
      <c r="C527" s="10" t="str">
        <f>IFERROR(_xlfn.XLOOKUP(D527,'Historias de Usuario'!C:C,'Historias de Usuario'!D:D, "Selecciona una historia"), "")</f>
        <v>Como Jefe Cuartel quiero crear solicitudes de mantenmiento para los vehículos para que sean procesadas por los talleres</v>
      </c>
      <c r="D527" s="22" t="s">
        <v>934</v>
      </c>
      <c r="E527" s="21" t="s">
        <v>1114</v>
      </c>
      <c r="F527" s="10" t="s">
        <v>1087</v>
      </c>
      <c r="G527" s="10" t="s">
        <v>1194</v>
      </c>
      <c r="H527" s="9" t="s">
        <v>17</v>
      </c>
    </row>
    <row r="528" spans="2:8" ht="43.2" x14ac:dyDescent="0.3">
      <c r="B528" s="18" t="str">
        <f>IFERROR(_xlfn.XLOOKUP(D528,'Historias de Usuario'!C:C,'Historias de Usuario'!B:B, "Selecciona una historia"), "")</f>
        <v>Gestión de Cuartel de Bomberos</v>
      </c>
      <c r="C528" s="10" t="str">
        <f>IFERROR(_xlfn.XLOOKUP(D528,'Historias de Usuario'!C:C,'Historias de Usuario'!D:D, "Selecciona una historia"), "")</f>
        <v>Como Jefe Cuartel quiero crear solicitudes de mantenmiento para los vehículos para que sean procesadas por los talleres</v>
      </c>
      <c r="D528" s="22" t="s">
        <v>934</v>
      </c>
      <c r="E528" s="21" t="s">
        <v>1115</v>
      </c>
      <c r="F528" s="10" t="s">
        <v>1088</v>
      </c>
      <c r="G528" s="10" t="s">
        <v>1194</v>
      </c>
      <c r="H528" s="9" t="s">
        <v>32</v>
      </c>
    </row>
    <row r="529" spans="2:8" ht="30" x14ac:dyDescent="0.3">
      <c r="B529" s="20" t="str">
        <f>IFERROR(_xlfn.XLOOKUP(D529,'Historias de Usuario'!C:C,'Historias de Usuario'!B:B, "Selecciona una historia"), "")</f>
        <v>Gestión de Cuartel de Bomberos</v>
      </c>
      <c r="C529" s="21" t="str">
        <f>IFERROR(_xlfn.XLOOKUP(D529,'Historias de Usuario'!C:C,'Historias de Usuario'!D:D, "Selecciona una historia"), "")</f>
        <v>Como Jefe Cuartel quiero ver el listado de solicitudes de mantenimiento para hacer seguimiento de su estado</v>
      </c>
      <c r="D529" s="22" t="s">
        <v>935</v>
      </c>
      <c r="E529" s="21" t="s">
        <v>1125</v>
      </c>
      <c r="F529" s="21" t="s">
        <v>1097</v>
      </c>
      <c r="G529" s="10" t="s">
        <v>1194</v>
      </c>
      <c r="H529" s="22" t="s">
        <v>32</v>
      </c>
    </row>
    <row r="530" spans="2:8" ht="30" x14ac:dyDescent="0.3">
      <c r="B530" s="18" t="str">
        <f>IFERROR(_xlfn.XLOOKUP(D530,'Historias de Usuario'!C:C,'Historias de Usuario'!B:B, "Selecciona una historia"), "")</f>
        <v>Gestión de Cuartel de Bomberos</v>
      </c>
      <c r="C530" s="10" t="str">
        <f>IFERROR(_xlfn.XLOOKUP(D530,'Historias de Usuario'!C:C,'Historias de Usuario'!D:D, "Selecciona una historia"), "")</f>
        <v>Como Jefe Cuartel quiero ver el listado de solicitudes de mantenimiento para hacer seguimiento de su estado</v>
      </c>
      <c r="D530" s="22" t="s">
        <v>935</v>
      </c>
      <c r="E530" s="21" t="s">
        <v>1126</v>
      </c>
      <c r="F530" s="10" t="s">
        <v>1098</v>
      </c>
      <c r="G530" s="10" t="s">
        <v>1194</v>
      </c>
      <c r="H530" s="9" t="s">
        <v>32</v>
      </c>
    </row>
    <row r="531" spans="2:8" ht="30" x14ac:dyDescent="0.3">
      <c r="B531" s="18" t="str">
        <f>IFERROR(_xlfn.XLOOKUP(D531,'Historias de Usuario'!C:C,'Historias de Usuario'!B:B, "Selecciona una historia"), "")</f>
        <v>Gestión de Cuartel de Bomberos</v>
      </c>
      <c r="C531" s="10" t="str">
        <f>IFERROR(_xlfn.XLOOKUP(D531,'Historias de Usuario'!C:C,'Historias de Usuario'!D:D, "Selecciona una historia"), "")</f>
        <v>Como Jefe Cuartel quiero ver el listado de solicitudes de mantenimiento para hacer seguimiento de su estado</v>
      </c>
      <c r="D531" s="22" t="s">
        <v>935</v>
      </c>
      <c r="E531" s="21" t="s">
        <v>1127</v>
      </c>
      <c r="F531" s="10" t="s">
        <v>1099</v>
      </c>
      <c r="G531" s="10" t="s">
        <v>1194</v>
      </c>
      <c r="H531" s="9" t="s">
        <v>32</v>
      </c>
    </row>
    <row r="532" spans="2:8" ht="30" x14ac:dyDescent="0.3">
      <c r="B532" s="18" t="str">
        <f>IFERROR(_xlfn.XLOOKUP(D532,'Historias de Usuario'!C:C,'Historias de Usuario'!B:B, "Selecciona una historia"), "")</f>
        <v>Gestión de Cuartel de Bomberos</v>
      </c>
      <c r="C532" s="10" t="str">
        <f>IFERROR(_xlfn.XLOOKUP(D532,'Historias de Usuario'!C:C,'Historias de Usuario'!D:D, "Selecciona una historia"), "")</f>
        <v>Como Jefe Cuartel quiero ver el listado de solicitudes de mantenimiento para hacer seguimiento de su estado</v>
      </c>
      <c r="D532" s="22" t="s">
        <v>935</v>
      </c>
      <c r="E532" s="21" t="s">
        <v>1128</v>
      </c>
      <c r="F532" s="10" t="s">
        <v>1100</v>
      </c>
      <c r="G532" s="10" t="s">
        <v>1194</v>
      </c>
      <c r="H532" s="9" t="s">
        <v>17</v>
      </c>
    </row>
    <row r="533" spans="2:8" ht="57.6" x14ac:dyDescent="0.3">
      <c r="B533" s="18" t="str">
        <f>IFERROR(_xlfn.XLOOKUP(D533,'Historias de Usuario'!C:C,'Historias de Usuario'!B:B, "Selecciona una historia"), "")</f>
        <v>Gestión de Cuartel de Bomberos</v>
      </c>
      <c r="C533" s="10" t="str">
        <f>IFERROR(_xlfn.XLOOKUP(D533,'Historias de Usuario'!C:C,'Historias de Usuario'!D:D, "Selecciona una historia"), "")</f>
        <v>Como Jefe Cuartel quiero ver el listado de solicitudes de mantenimiento para hacer seguimiento de su estado</v>
      </c>
      <c r="D533" s="22" t="s">
        <v>935</v>
      </c>
      <c r="E533" s="21" t="s">
        <v>1129</v>
      </c>
      <c r="F533" s="10" t="s">
        <v>1101</v>
      </c>
      <c r="G533" s="10" t="s">
        <v>1194</v>
      </c>
      <c r="H533" s="9" t="s">
        <v>32</v>
      </c>
    </row>
    <row r="534" spans="2:8" ht="30" x14ac:dyDescent="0.3">
      <c r="B534" s="18" t="str">
        <f>IFERROR(_xlfn.XLOOKUP(D534,'Historias de Usuario'!C:C,'Historias de Usuario'!B:B, "Selecciona una historia"), "")</f>
        <v>Gestión de Cuartel de Bomberos</v>
      </c>
      <c r="C534" s="10" t="str">
        <f>IFERROR(_xlfn.XLOOKUP(D534,'Historias de Usuario'!C:C,'Historias de Usuario'!D:D, "Selecciona una historia"), "")</f>
        <v>Como Jefe Cuartel quiero ver el listado de solicitudes de mantenimiento para hacer seguimiento de su estado</v>
      </c>
      <c r="D534" s="22" t="s">
        <v>935</v>
      </c>
      <c r="E534" s="21" t="s">
        <v>1130</v>
      </c>
      <c r="F534" s="10" t="s">
        <v>1102</v>
      </c>
      <c r="G534" s="10" t="s">
        <v>1194</v>
      </c>
      <c r="H534" s="9" t="s">
        <v>32</v>
      </c>
    </row>
    <row r="535" spans="2:8" ht="30" x14ac:dyDescent="0.3">
      <c r="B535" s="18" t="str">
        <f>IFERROR(_xlfn.XLOOKUP(D535,'Historias de Usuario'!C:C,'Historias de Usuario'!B:B, "Selecciona una historia"), "")</f>
        <v>Gestión de Cuartel de Bomberos</v>
      </c>
      <c r="C535" s="10" t="str">
        <f>IFERROR(_xlfn.XLOOKUP(D535,'Historias de Usuario'!C:C,'Historias de Usuario'!D:D, "Selecciona una historia"), "")</f>
        <v>Como Jefe Cuartel quiero ver el listado de solicitudes de mantenimiento para hacer seguimiento de su estado</v>
      </c>
      <c r="D535" s="22" t="s">
        <v>935</v>
      </c>
      <c r="E535" s="21" t="s">
        <v>1131</v>
      </c>
      <c r="F535" s="10" t="s">
        <v>1103</v>
      </c>
      <c r="G535" s="10" t="s">
        <v>1194</v>
      </c>
      <c r="H535" s="9" t="s">
        <v>32</v>
      </c>
    </row>
    <row r="536" spans="2:8" ht="30" x14ac:dyDescent="0.3">
      <c r="B536" s="18" t="str">
        <f>IFERROR(_xlfn.XLOOKUP(D536,'Historias de Usuario'!C:C,'Historias de Usuario'!B:B, "Selecciona una historia"), "")</f>
        <v>Gestión de Cuartel de Bomberos</v>
      </c>
      <c r="C536" s="10" t="str">
        <f>IFERROR(_xlfn.XLOOKUP(D536,'Historias de Usuario'!C:C,'Historias de Usuario'!D:D, "Selecciona una historia"), "")</f>
        <v>Como Jefe Cuartel quiero ver el listado de solicitudes de mantenimiento para hacer seguimiento de su estado</v>
      </c>
      <c r="D536" s="22" t="s">
        <v>935</v>
      </c>
      <c r="E536" s="21" t="s">
        <v>1132</v>
      </c>
      <c r="F536" s="10" t="s">
        <v>1104</v>
      </c>
      <c r="G536" s="10" t="s">
        <v>1194</v>
      </c>
      <c r="H536" s="9" t="s">
        <v>32</v>
      </c>
    </row>
    <row r="537" spans="2:8" ht="30" x14ac:dyDescent="0.3">
      <c r="B537" s="18" t="str">
        <f>IFERROR(_xlfn.XLOOKUP(D537,'Historias de Usuario'!C:C,'Historias de Usuario'!B:B, "Selecciona una historia"), "")</f>
        <v>Gestión de Cuartel de Bomberos</v>
      </c>
      <c r="C537" s="10" t="str">
        <f>IFERROR(_xlfn.XLOOKUP(D537,'Historias de Usuario'!C:C,'Historias de Usuario'!D:D, "Selecciona una historia"), "")</f>
        <v>Como Jefe Cuartel quiero ver el listado de solicitudes de mantenimiento para hacer seguimiento de su estado</v>
      </c>
      <c r="D537" s="22" t="s">
        <v>935</v>
      </c>
      <c r="E537" s="21" t="s">
        <v>1133</v>
      </c>
      <c r="F537" s="10" t="s">
        <v>1105</v>
      </c>
      <c r="G537" s="10" t="s">
        <v>1194</v>
      </c>
      <c r="H537" s="9" t="s">
        <v>17</v>
      </c>
    </row>
    <row r="538" spans="2:8" ht="30" x14ac:dyDescent="0.3">
      <c r="B538" s="18" t="str">
        <f>IFERROR(_xlfn.XLOOKUP(D538,'Historias de Usuario'!C:C,'Historias de Usuario'!B:B, "Selecciona una historia"), "")</f>
        <v>Gestión de Cuartel de Bomberos</v>
      </c>
      <c r="C538" s="10" t="str">
        <f>IFERROR(_xlfn.XLOOKUP(D538,'Historias de Usuario'!C:C,'Historias de Usuario'!D:D, "Selecciona una historia"), "")</f>
        <v>Como Jefe Cuartel quiero ver el listado de solicitudes de mantenimiento para hacer seguimiento de su estado</v>
      </c>
      <c r="D538" s="22" t="s">
        <v>935</v>
      </c>
      <c r="E538" s="21" t="s">
        <v>1137</v>
      </c>
      <c r="F538" s="10" t="s">
        <v>969</v>
      </c>
      <c r="G538" s="10" t="s">
        <v>1194</v>
      </c>
      <c r="H538" s="9" t="s">
        <v>32</v>
      </c>
    </row>
    <row r="539" spans="2:8" ht="30" x14ac:dyDescent="0.3">
      <c r="B539" s="20" t="str">
        <f>IFERROR(_xlfn.XLOOKUP(D539,'Historias de Usuario'!C:C,'Historias de Usuario'!B:B, "Selecciona una historia"), "")</f>
        <v>Gestión de Cuartel de Bomberos</v>
      </c>
      <c r="C539" s="21" t="str">
        <f>IFERROR(_xlfn.XLOOKUP(D539,'Historias de Usuario'!C:C,'Historias de Usuario'!D:D, "Selecciona una historia"), "")</f>
        <v>Como Jefe Cuartel quiero ver el detalle de una solicitud para conocer su estado y respuesta</v>
      </c>
      <c r="D539" s="22" t="s">
        <v>936</v>
      </c>
      <c r="E539" s="21" t="s">
        <v>1138</v>
      </c>
      <c r="F539" s="21" t="s">
        <v>1116</v>
      </c>
      <c r="G539" s="10" t="s">
        <v>1194</v>
      </c>
      <c r="H539" s="22" t="s">
        <v>32</v>
      </c>
    </row>
    <row r="540" spans="2:8" ht="30" x14ac:dyDescent="0.3">
      <c r="B540" s="18" t="str">
        <f>IFERROR(_xlfn.XLOOKUP(D540,'Historias de Usuario'!C:C,'Historias de Usuario'!B:B, "Selecciona una historia"), "")</f>
        <v>Gestión de Cuartel de Bomberos</v>
      </c>
      <c r="C540" s="10" t="str">
        <f>IFERROR(_xlfn.XLOOKUP(D540,'Historias de Usuario'!C:C,'Historias de Usuario'!D:D, "Selecciona una historia"), "")</f>
        <v>Como Jefe Cuartel quiero ver el detalle de una solicitud para conocer su estado y respuesta</v>
      </c>
      <c r="D540" s="22" t="s">
        <v>936</v>
      </c>
      <c r="E540" s="21" t="s">
        <v>1139</v>
      </c>
      <c r="F540" s="10" t="s">
        <v>1117</v>
      </c>
      <c r="G540" s="10" t="s">
        <v>1194</v>
      </c>
      <c r="H540" s="9" t="s">
        <v>32</v>
      </c>
    </row>
    <row r="541" spans="2:8" ht="30" x14ac:dyDescent="0.3">
      <c r="B541" s="18" t="str">
        <f>IFERROR(_xlfn.XLOOKUP(D541,'Historias de Usuario'!C:C,'Historias de Usuario'!B:B, "Selecciona una historia"), "")</f>
        <v>Gestión de Cuartel de Bomberos</v>
      </c>
      <c r="C541" s="10" t="str">
        <f>IFERROR(_xlfn.XLOOKUP(D541,'Historias de Usuario'!C:C,'Historias de Usuario'!D:D, "Selecciona una historia"), "")</f>
        <v>Como Jefe Cuartel quiero ver el detalle de una solicitud para conocer su estado y respuesta</v>
      </c>
      <c r="D541" s="22" t="s">
        <v>936</v>
      </c>
      <c r="E541" s="21" t="s">
        <v>1149</v>
      </c>
      <c r="F541" s="10" t="s">
        <v>1118</v>
      </c>
      <c r="G541" s="10" t="s">
        <v>1194</v>
      </c>
      <c r="H541" s="9" t="s">
        <v>32</v>
      </c>
    </row>
    <row r="542" spans="2:8" ht="30" x14ac:dyDescent="0.3">
      <c r="B542" s="18" t="str">
        <f>IFERROR(_xlfn.XLOOKUP(D542,'Historias de Usuario'!C:C,'Historias de Usuario'!B:B, "Selecciona una historia"), "")</f>
        <v>Gestión de Cuartel de Bomberos</v>
      </c>
      <c r="C542" s="10" t="str">
        <f>IFERROR(_xlfn.XLOOKUP(D542,'Historias de Usuario'!C:C,'Historias de Usuario'!D:D, "Selecciona una historia"), "")</f>
        <v>Como Jefe Cuartel quiero ver el detalle de una solicitud para conocer su estado y respuesta</v>
      </c>
      <c r="D542" s="22" t="s">
        <v>936</v>
      </c>
      <c r="E542" s="21" t="s">
        <v>1150</v>
      </c>
      <c r="F542" s="10" t="s">
        <v>1119</v>
      </c>
      <c r="G542" s="10" t="s">
        <v>1194</v>
      </c>
      <c r="H542" s="9" t="s">
        <v>32</v>
      </c>
    </row>
    <row r="543" spans="2:8" ht="30" x14ac:dyDescent="0.3">
      <c r="B543" s="18" t="str">
        <f>IFERROR(_xlfn.XLOOKUP(D543,'Historias de Usuario'!C:C,'Historias de Usuario'!B:B, "Selecciona una historia"), "")</f>
        <v>Gestión de Cuartel de Bomberos</v>
      </c>
      <c r="C543" s="10" t="str">
        <f>IFERROR(_xlfn.XLOOKUP(D543,'Historias de Usuario'!C:C,'Historias de Usuario'!D:D, "Selecciona una historia"), "")</f>
        <v>Como Jefe Cuartel quiero ver el detalle de una solicitud para conocer su estado y respuesta</v>
      </c>
      <c r="D543" s="22" t="s">
        <v>936</v>
      </c>
      <c r="E543" s="21" t="s">
        <v>1151</v>
      </c>
      <c r="F543" s="10" t="s">
        <v>1120</v>
      </c>
      <c r="G543" s="10" t="s">
        <v>1194</v>
      </c>
      <c r="H543" s="9" t="s">
        <v>32</v>
      </c>
    </row>
    <row r="544" spans="2:8" ht="30" x14ac:dyDescent="0.3">
      <c r="B544" s="18" t="str">
        <f>IFERROR(_xlfn.XLOOKUP(D544,'Historias de Usuario'!C:C,'Historias de Usuario'!B:B, "Selecciona una historia"), "")</f>
        <v>Gestión de Cuartel de Bomberos</v>
      </c>
      <c r="C544" s="10" t="str">
        <f>IFERROR(_xlfn.XLOOKUP(D544,'Historias de Usuario'!C:C,'Historias de Usuario'!D:D, "Selecciona una historia"), "")</f>
        <v>Como Jefe Cuartel quiero ver el detalle de una solicitud para conocer su estado y respuesta</v>
      </c>
      <c r="D544" s="22" t="s">
        <v>936</v>
      </c>
      <c r="E544" s="21" t="s">
        <v>1152</v>
      </c>
      <c r="F544" s="10" t="s">
        <v>1121</v>
      </c>
      <c r="G544" s="10" t="s">
        <v>1194</v>
      </c>
      <c r="H544" s="9" t="s">
        <v>32</v>
      </c>
    </row>
    <row r="545" spans="2:8" ht="30" x14ac:dyDescent="0.3">
      <c r="B545" s="18" t="str">
        <f>IFERROR(_xlfn.XLOOKUP(D545,'Historias de Usuario'!C:C,'Historias de Usuario'!B:B, "Selecciona una historia"), "")</f>
        <v>Gestión de Cuartel de Bomberos</v>
      </c>
      <c r="C545" s="10" t="str">
        <f>IFERROR(_xlfn.XLOOKUP(D545,'Historias de Usuario'!C:C,'Historias de Usuario'!D:D, "Selecciona una historia"), "")</f>
        <v>Como Jefe Cuartel quiero ver el detalle de una solicitud para conocer su estado y respuesta</v>
      </c>
      <c r="D545" s="22" t="s">
        <v>936</v>
      </c>
      <c r="E545" s="21" t="s">
        <v>1153</v>
      </c>
      <c r="F545" s="10" t="s">
        <v>1122</v>
      </c>
      <c r="G545" s="10" t="s">
        <v>1194</v>
      </c>
      <c r="H545" s="9" t="s">
        <v>32</v>
      </c>
    </row>
    <row r="546" spans="2:8" ht="30" x14ac:dyDescent="0.3">
      <c r="B546" s="18" t="str">
        <f>IFERROR(_xlfn.XLOOKUP(D546,'Historias de Usuario'!C:C,'Historias de Usuario'!B:B, "Selecciona una historia"), "")</f>
        <v>Gestión de Cuartel de Bomberos</v>
      </c>
      <c r="C546" s="10" t="str">
        <f>IFERROR(_xlfn.XLOOKUP(D546,'Historias de Usuario'!C:C,'Historias de Usuario'!D:D, "Selecciona una historia"), "")</f>
        <v>Como Jefe Cuartel quiero ver el detalle de una solicitud para conocer su estado y respuesta</v>
      </c>
      <c r="D546" s="22" t="s">
        <v>936</v>
      </c>
      <c r="E546" s="21" t="s">
        <v>1154</v>
      </c>
      <c r="F546" s="10" t="s">
        <v>1123</v>
      </c>
      <c r="G546" s="10" t="s">
        <v>1194</v>
      </c>
      <c r="H546" s="9" t="s">
        <v>32</v>
      </c>
    </row>
    <row r="547" spans="2:8" ht="30" x14ac:dyDescent="0.3">
      <c r="B547" s="18" t="str">
        <f>IFERROR(_xlfn.XLOOKUP(D547,'Historias de Usuario'!C:C,'Historias de Usuario'!B:B, "Selecciona una historia"), "")</f>
        <v>Gestión de Cuartel de Bomberos</v>
      </c>
      <c r="C547" s="10" t="str">
        <f>IFERROR(_xlfn.XLOOKUP(D547,'Historias de Usuario'!C:C,'Historias de Usuario'!D:D, "Selecciona una historia"), "")</f>
        <v>Como Jefe Cuartel quiero ver el detalle de una solicitud para conocer su estado y respuesta</v>
      </c>
      <c r="D547" s="22" t="s">
        <v>936</v>
      </c>
      <c r="E547" s="21" t="s">
        <v>1155</v>
      </c>
      <c r="F547" s="10" t="s">
        <v>1124</v>
      </c>
      <c r="G547" s="10" t="s">
        <v>1194</v>
      </c>
      <c r="H547" s="9" t="s">
        <v>32</v>
      </c>
    </row>
    <row r="548" spans="2:8" ht="30" x14ac:dyDescent="0.3">
      <c r="B548" s="20" t="str">
        <f>IFERROR(_xlfn.XLOOKUP(D548,'Historias de Usuario'!C:C,'Historias de Usuario'!B:B, "Selecciona una historia"), "")</f>
        <v>Gestión de Cuartel de Bomberos</v>
      </c>
      <c r="C548" s="21" t="str">
        <f>IFERROR(_xlfn.XLOOKUP(D548,'Historias de Usuario'!C:C,'Historias de Usuario'!D:D, "Selecciona una historia"), "")</f>
        <v>Como Jefe Cuartel quiero gestionar los usuarios de mi cuartel para controlar quien tiene acceso</v>
      </c>
      <c r="D548" s="22" t="s">
        <v>937</v>
      </c>
      <c r="E548" s="21" t="s">
        <v>1156</v>
      </c>
      <c r="F548" s="21" t="s">
        <v>1134</v>
      </c>
      <c r="G548" s="10" t="s">
        <v>1194</v>
      </c>
      <c r="H548" s="22" t="s">
        <v>17</v>
      </c>
    </row>
    <row r="549" spans="2:8" ht="30" x14ac:dyDescent="0.3">
      <c r="B549" s="18" t="str">
        <f>IFERROR(_xlfn.XLOOKUP(D549,'Historias de Usuario'!C:C,'Historias de Usuario'!B:B, "Selecciona una historia"), "")</f>
        <v>Gestión de Cuartel de Bomberos</v>
      </c>
      <c r="C549" s="10" t="str">
        <f>IFERROR(_xlfn.XLOOKUP(D549,'Historias de Usuario'!C:C,'Historias de Usuario'!D:D, "Selecciona una historia"), "")</f>
        <v>Como Jefe Cuartel quiero gestionar los usuarios de mi cuartel para controlar quien tiene acceso</v>
      </c>
      <c r="D549" s="22" t="s">
        <v>937</v>
      </c>
      <c r="E549" s="21" t="s">
        <v>1157</v>
      </c>
      <c r="F549" s="10" t="s">
        <v>1135</v>
      </c>
      <c r="G549" s="10" t="s">
        <v>1194</v>
      </c>
      <c r="H549" s="9" t="s">
        <v>17</v>
      </c>
    </row>
    <row r="550" spans="2:8" ht="30" x14ac:dyDescent="0.3">
      <c r="B550" s="18" t="str">
        <f>IFERROR(_xlfn.XLOOKUP(D550,'Historias de Usuario'!C:C,'Historias de Usuario'!B:B, "Selecciona una historia"), "")</f>
        <v>Gestión de Cuartel de Bomberos</v>
      </c>
      <c r="C550" s="10" t="str">
        <f>IFERROR(_xlfn.XLOOKUP(D550,'Historias de Usuario'!C:C,'Historias de Usuario'!D:D, "Selecciona una historia"), "")</f>
        <v>Como Jefe Cuartel quiero gestionar los usuarios de mi cuartel para controlar quien tiene acceso</v>
      </c>
      <c r="D550" s="22" t="s">
        <v>937</v>
      </c>
      <c r="E550" s="21" t="s">
        <v>1158</v>
      </c>
      <c r="F550" s="10" t="s">
        <v>1136</v>
      </c>
      <c r="G550" s="10" t="s">
        <v>1194</v>
      </c>
      <c r="H550" s="9" t="s">
        <v>17</v>
      </c>
    </row>
    <row r="551" spans="2:8" ht="30" x14ac:dyDescent="0.3">
      <c r="B551" s="20" t="str">
        <f>IFERROR(_xlfn.XLOOKUP(D551,'Historias de Usuario'!C:C,'Historias de Usuario'!B:B, "Selecciona una historia"), "")</f>
        <v>Gestión de Cuartel de Bomberos</v>
      </c>
      <c r="C551" s="21" t="str">
        <f>IFERROR(_xlfn.XLOOKUP(D551,'Historias de Usuario'!C:C,'Historias de Usuario'!D:D, "Selecciona una historia"), "")</f>
        <v>Como Jefe Cuartel quiero crear un nuevo usuario para dar acceso a miembros del cuartel</v>
      </c>
      <c r="D551" s="22" t="s">
        <v>938</v>
      </c>
      <c r="E551" s="21" t="s">
        <v>1159</v>
      </c>
      <c r="F551" s="21" t="s">
        <v>360</v>
      </c>
      <c r="G551" s="10" t="s">
        <v>1194</v>
      </c>
      <c r="H551" s="22" t="s">
        <v>17</v>
      </c>
    </row>
    <row r="552" spans="2:8" ht="30" x14ac:dyDescent="0.3">
      <c r="B552" s="18" t="str">
        <f>IFERROR(_xlfn.XLOOKUP(D552,'Historias de Usuario'!C:C,'Historias de Usuario'!B:B, "Selecciona una historia"), "")</f>
        <v>Gestión de Cuartel de Bomberos</v>
      </c>
      <c r="C552" s="10" t="str">
        <f>IFERROR(_xlfn.XLOOKUP(D552,'Historias de Usuario'!C:C,'Historias de Usuario'!D:D, "Selecciona una historia"), "")</f>
        <v>Como Jefe Cuartel quiero crear un nuevo usuario para dar acceso a miembros del cuartel</v>
      </c>
      <c r="D552" s="22" t="s">
        <v>938</v>
      </c>
      <c r="E552" s="21" t="s">
        <v>1160</v>
      </c>
      <c r="F552" s="10" t="s">
        <v>1140</v>
      </c>
      <c r="G552" s="10" t="s">
        <v>1194</v>
      </c>
      <c r="H552" s="9" t="s">
        <v>17</v>
      </c>
    </row>
    <row r="553" spans="2:8" ht="30" x14ac:dyDescent="0.3">
      <c r="B553" s="18" t="str">
        <f>IFERROR(_xlfn.XLOOKUP(D553,'Historias de Usuario'!C:C,'Historias de Usuario'!B:B, "Selecciona una historia"), "")</f>
        <v>Gestión de Cuartel de Bomberos</v>
      </c>
      <c r="C553" s="10" t="str">
        <f>IFERROR(_xlfn.XLOOKUP(D553,'Historias de Usuario'!C:C,'Historias de Usuario'!D:D, "Selecciona una historia"), "")</f>
        <v>Como Jefe Cuartel quiero crear un nuevo usuario para dar acceso a miembros del cuartel</v>
      </c>
      <c r="D553" s="22" t="s">
        <v>938</v>
      </c>
      <c r="E553" s="21" t="s">
        <v>1161</v>
      </c>
      <c r="F553" s="10" t="s">
        <v>1141</v>
      </c>
      <c r="G553" s="10" t="s">
        <v>1194</v>
      </c>
      <c r="H553" s="9" t="s">
        <v>17</v>
      </c>
    </row>
    <row r="554" spans="2:8" ht="30" x14ac:dyDescent="0.3">
      <c r="B554" s="18" t="str">
        <f>IFERROR(_xlfn.XLOOKUP(D554,'Historias de Usuario'!C:C,'Historias de Usuario'!B:B, "Selecciona una historia"), "")</f>
        <v>Gestión de Cuartel de Bomberos</v>
      </c>
      <c r="C554" s="10" t="str">
        <f>IFERROR(_xlfn.XLOOKUP(D554,'Historias de Usuario'!C:C,'Historias de Usuario'!D:D, "Selecciona una historia"), "")</f>
        <v>Como Jefe Cuartel quiero crear un nuevo usuario para dar acceso a miembros del cuartel</v>
      </c>
      <c r="D554" s="22" t="s">
        <v>938</v>
      </c>
      <c r="E554" s="21" t="s">
        <v>1162</v>
      </c>
      <c r="F554" s="10" t="s">
        <v>1142</v>
      </c>
      <c r="G554" s="10" t="s">
        <v>1194</v>
      </c>
      <c r="H554" s="9" t="s">
        <v>17</v>
      </c>
    </row>
    <row r="555" spans="2:8" ht="30" x14ac:dyDescent="0.3">
      <c r="B555" s="18" t="str">
        <f>IFERROR(_xlfn.XLOOKUP(D555,'Historias de Usuario'!C:C,'Historias de Usuario'!B:B, "Selecciona una historia"), "")</f>
        <v>Gestión de Cuartel de Bomberos</v>
      </c>
      <c r="C555" s="10" t="str">
        <f>IFERROR(_xlfn.XLOOKUP(D555,'Historias de Usuario'!C:C,'Historias de Usuario'!D:D, "Selecciona una historia"), "")</f>
        <v>Como Jefe Cuartel quiero crear un nuevo usuario para dar acceso a miembros del cuartel</v>
      </c>
      <c r="D555" s="22" t="s">
        <v>938</v>
      </c>
      <c r="E555" s="21" t="s">
        <v>1163</v>
      </c>
      <c r="F555" s="10" t="s">
        <v>364</v>
      </c>
      <c r="G555" s="10" t="s">
        <v>1194</v>
      </c>
      <c r="H555" s="9" t="s">
        <v>17</v>
      </c>
    </row>
    <row r="556" spans="2:8" ht="30" x14ac:dyDescent="0.3">
      <c r="B556" s="18" t="str">
        <f>IFERROR(_xlfn.XLOOKUP(D556,'Historias de Usuario'!C:C,'Historias de Usuario'!B:B, "Selecciona una historia"), "")</f>
        <v>Gestión de Cuartel de Bomberos</v>
      </c>
      <c r="C556" s="10" t="str">
        <f>IFERROR(_xlfn.XLOOKUP(D556,'Historias de Usuario'!C:C,'Historias de Usuario'!D:D, "Selecciona una historia"), "")</f>
        <v>Como Jefe Cuartel quiero crear un nuevo usuario para dar acceso a miembros del cuartel</v>
      </c>
      <c r="D556" s="22" t="s">
        <v>938</v>
      </c>
      <c r="E556" s="21" t="s">
        <v>1167</v>
      </c>
      <c r="F556" s="10" t="s">
        <v>365</v>
      </c>
      <c r="G556" s="10" t="s">
        <v>1194</v>
      </c>
      <c r="H556" s="9" t="s">
        <v>17</v>
      </c>
    </row>
    <row r="557" spans="2:8" ht="30" x14ac:dyDescent="0.3">
      <c r="B557" s="18" t="str">
        <f>IFERROR(_xlfn.XLOOKUP(D557,'Historias de Usuario'!C:C,'Historias de Usuario'!B:B, "Selecciona una historia"), "")</f>
        <v>Gestión de Cuartel de Bomberos</v>
      </c>
      <c r="C557" s="10" t="str">
        <f>IFERROR(_xlfn.XLOOKUP(D557,'Historias de Usuario'!C:C,'Historias de Usuario'!D:D, "Selecciona una historia"), "")</f>
        <v>Como Jefe Cuartel quiero crear un nuevo usuario para dar acceso a miembros del cuartel</v>
      </c>
      <c r="D557" s="22" t="s">
        <v>938</v>
      </c>
      <c r="E557" s="21" t="s">
        <v>1168</v>
      </c>
      <c r="F557" s="10" t="s">
        <v>1143</v>
      </c>
      <c r="G557" s="10" t="s">
        <v>1194</v>
      </c>
      <c r="H557" s="9" t="s">
        <v>17</v>
      </c>
    </row>
    <row r="558" spans="2:8" ht="30" x14ac:dyDescent="0.3">
      <c r="B558" s="18" t="str">
        <f>IFERROR(_xlfn.XLOOKUP(D558,'Historias de Usuario'!C:C,'Historias de Usuario'!B:B, "Selecciona una historia"), "")</f>
        <v>Gestión de Cuartel de Bomberos</v>
      </c>
      <c r="C558" s="10" t="str">
        <f>IFERROR(_xlfn.XLOOKUP(D558,'Historias de Usuario'!C:C,'Historias de Usuario'!D:D, "Selecciona una historia"), "")</f>
        <v>Como Jefe Cuartel quiero crear un nuevo usuario para dar acceso a miembros del cuartel</v>
      </c>
      <c r="D558" s="22" t="s">
        <v>938</v>
      </c>
      <c r="E558" s="21" t="s">
        <v>1169</v>
      </c>
      <c r="F558" s="10" t="s">
        <v>152</v>
      </c>
      <c r="G558" s="10" t="s">
        <v>1194</v>
      </c>
      <c r="H558" s="9" t="s">
        <v>17</v>
      </c>
    </row>
    <row r="559" spans="2:8" ht="30" x14ac:dyDescent="0.3">
      <c r="B559" s="18" t="str">
        <f>IFERROR(_xlfn.XLOOKUP(D559,'Historias de Usuario'!C:C,'Historias de Usuario'!B:B, "Selecciona una historia"), "")</f>
        <v>Gestión de Cuartel de Bomberos</v>
      </c>
      <c r="C559" s="10" t="str">
        <f>IFERROR(_xlfn.XLOOKUP(D559,'Historias de Usuario'!C:C,'Historias de Usuario'!D:D, "Selecciona una historia"), "")</f>
        <v>Como Jefe Cuartel quiero crear un nuevo usuario para dar acceso a miembros del cuartel</v>
      </c>
      <c r="D559" s="22" t="s">
        <v>938</v>
      </c>
      <c r="E559" s="21" t="s">
        <v>1170</v>
      </c>
      <c r="F559" s="10" t="s">
        <v>1144</v>
      </c>
      <c r="G559" s="10" t="s">
        <v>1194</v>
      </c>
      <c r="H559" s="9" t="s">
        <v>17</v>
      </c>
    </row>
    <row r="560" spans="2:8" ht="30" x14ac:dyDescent="0.3">
      <c r="B560" s="18" t="str">
        <f>IFERROR(_xlfn.XLOOKUP(D560,'Historias de Usuario'!C:C,'Historias de Usuario'!B:B, "Selecciona una historia"), "")</f>
        <v>Gestión de Cuartel de Bomberos</v>
      </c>
      <c r="C560" s="10" t="str">
        <f>IFERROR(_xlfn.XLOOKUP(D560,'Historias de Usuario'!C:C,'Historias de Usuario'!D:D, "Selecciona una historia"), "")</f>
        <v>Como Jefe Cuartel quiero crear un nuevo usuario para dar acceso a miembros del cuartel</v>
      </c>
      <c r="D560" s="22" t="s">
        <v>938</v>
      </c>
      <c r="E560" s="21" t="s">
        <v>1171</v>
      </c>
      <c r="F560" s="10" t="s">
        <v>1145</v>
      </c>
      <c r="G560" s="10" t="s">
        <v>1194</v>
      </c>
      <c r="H560" s="9" t="s">
        <v>17</v>
      </c>
    </row>
    <row r="561" spans="2:8" ht="30" x14ac:dyDescent="0.3">
      <c r="B561" s="18" t="str">
        <f>IFERROR(_xlfn.XLOOKUP(D561,'Historias de Usuario'!C:C,'Historias de Usuario'!B:B, "Selecciona una historia"), "")</f>
        <v>Gestión de Cuartel de Bomberos</v>
      </c>
      <c r="C561" s="10" t="str">
        <f>IFERROR(_xlfn.XLOOKUP(D561,'Historias de Usuario'!C:C,'Historias de Usuario'!D:D, "Selecciona una historia"), "")</f>
        <v>Como Jefe Cuartel quiero crear un nuevo usuario para dar acceso a miembros del cuartel</v>
      </c>
      <c r="D561" s="22" t="s">
        <v>938</v>
      </c>
      <c r="E561" s="21" t="s">
        <v>1172</v>
      </c>
      <c r="F561" s="10" t="s">
        <v>374</v>
      </c>
      <c r="G561" s="10" t="s">
        <v>1194</v>
      </c>
      <c r="H561" s="9" t="s">
        <v>17</v>
      </c>
    </row>
    <row r="562" spans="2:8" ht="30" x14ac:dyDescent="0.3">
      <c r="B562" s="18" t="str">
        <f>IFERROR(_xlfn.XLOOKUP(D562,'Historias de Usuario'!C:C,'Historias de Usuario'!B:B, "Selecciona una historia"), "")</f>
        <v>Gestión de Cuartel de Bomberos</v>
      </c>
      <c r="C562" s="10" t="str">
        <f>IFERROR(_xlfn.XLOOKUP(D562,'Historias de Usuario'!C:C,'Historias de Usuario'!D:D, "Selecciona una historia"), "")</f>
        <v>Como Jefe Cuartel quiero crear un nuevo usuario para dar acceso a miembros del cuartel</v>
      </c>
      <c r="D562" s="22" t="s">
        <v>938</v>
      </c>
      <c r="E562" s="21" t="s">
        <v>1173</v>
      </c>
      <c r="F562" s="10" t="s">
        <v>372</v>
      </c>
      <c r="G562" s="10" t="s">
        <v>1194</v>
      </c>
      <c r="H562" s="9" t="s">
        <v>17</v>
      </c>
    </row>
    <row r="563" spans="2:8" ht="30" x14ac:dyDescent="0.3">
      <c r="B563" s="18" t="str">
        <f>IFERROR(_xlfn.XLOOKUP(D563,'Historias de Usuario'!C:C,'Historias de Usuario'!B:B, "Selecciona una historia"), "")</f>
        <v>Gestión de Cuartel de Bomberos</v>
      </c>
      <c r="C563" s="10" t="str">
        <f>IFERROR(_xlfn.XLOOKUP(D563,'Historias de Usuario'!C:C,'Historias de Usuario'!D:D, "Selecciona una historia"), "")</f>
        <v>Como Jefe Cuartel quiero crear un nuevo usuario para dar acceso a miembros del cuartel</v>
      </c>
      <c r="D563" s="22" t="s">
        <v>938</v>
      </c>
      <c r="E563" s="21" t="s">
        <v>1174</v>
      </c>
      <c r="F563" s="10" t="s">
        <v>1146</v>
      </c>
      <c r="G563" s="10" t="s">
        <v>1194</v>
      </c>
      <c r="H563" s="9" t="s">
        <v>17</v>
      </c>
    </row>
    <row r="564" spans="2:8" ht="30" x14ac:dyDescent="0.3">
      <c r="B564" s="18" t="str">
        <f>IFERROR(_xlfn.XLOOKUP(D564,'Historias de Usuario'!C:C,'Historias de Usuario'!B:B, "Selecciona una historia"), "")</f>
        <v>Gestión de Cuartel de Bomberos</v>
      </c>
      <c r="C564" s="10" t="str">
        <f>IFERROR(_xlfn.XLOOKUP(D564,'Historias de Usuario'!C:C,'Historias de Usuario'!D:D, "Selecciona una historia"), "")</f>
        <v>Como Jefe Cuartel quiero crear un nuevo usuario para dar acceso a miembros del cuartel</v>
      </c>
      <c r="D564" s="22" t="s">
        <v>938</v>
      </c>
      <c r="E564" s="21" t="s">
        <v>1179</v>
      </c>
      <c r="F564" s="10" t="s">
        <v>1147</v>
      </c>
      <c r="G564" s="10" t="s">
        <v>1194</v>
      </c>
      <c r="H564" s="9" t="s">
        <v>17</v>
      </c>
    </row>
    <row r="565" spans="2:8" ht="30" x14ac:dyDescent="0.3">
      <c r="B565" s="18" t="str">
        <f>IFERROR(_xlfn.XLOOKUP(D565,'Historias de Usuario'!C:C,'Historias de Usuario'!B:B, "Selecciona una historia"), "")</f>
        <v>Gestión de Cuartel de Bomberos</v>
      </c>
      <c r="C565" s="10" t="str">
        <f>IFERROR(_xlfn.XLOOKUP(D565,'Historias de Usuario'!C:C,'Historias de Usuario'!D:D, "Selecciona una historia"), "")</f>
        <v>Como Jefe Cuartel quiero crear un nuevo usuario para dar acceso a miembros del cuartel</v>
      </c>
      <c r="D565" s="22" t="s">
        <v>938</v>
      </c>
      <c r="E565" s="21" t="s">
        <v>1180</v>
      </c>
      <c r="F565" s="10" t="s">
        <v>1148</v>
      </c>
      <c r="G565" s="10" t="s">
        <v>1194</v>
      </c>
      <c r="H565" s="9" t="s">
        <v>17</v>
      </c>
    </row>
    <row r="566" spans="2:8" ht="30" x14ac:dyDescent="0.3">
      <c r="B566" s="20" t="str">
        <f>IFERROR(_xlfn.XLOOKUP(D566,'Historias de Usuario'!C:C,'Historias de Usuario'!B:B, "Selecciona una historia"), "")</f>
        <v>Gestión de Cuartel de Bomberos</v>
      </c>
      <c r="C566" s="21" t="str">
        <f>IFERROR(_xlfn.XLOOKUP(D566,'Historias de Usuario'!C:C,'Historias de Usuario'!D:D, "Selecciona una historia"), "")</f>
        <v>Como Jefe Cuartel quiero editar la información de un usuario para actualizar sus datos o cambiar su rol</v>
      </c>
      <c r="D566" s="22" t="s">
        <v>939</v>
      </c>
      <c r="E566" s="21" t="s">
        <v>1181</v>
      </c>
      <c r="F566" s="21" t="s">
        <v>409</v>
      </c>
      <c r="G566" s="10" t="s">
        <v>1194</v>
      </c>
      <c r="H566" s="22" t="s">
        <v>17</v>
      </c>
    </row>
    <row r="567" spans="2:8" ht="30" x14ac:dyDescent="0.3">
      <c r="B567" s="18" t="str">
        <f>IFERROR(_xlfn.XLOOKUP(D567,'Historias de Usuario'!C:C,'Historias de Usuario'!B:B, "Selecciona una historia"), "")</f>
        <v>Gestión de Cuartel de Bomberos</v>
      </c>
      <c r="C567" s="10" t="str">
        <f>IFERROR(_xlfn.XLOOKUP(D567,'Historias de Usuario'!C:C,'Historias de Usuario'!D:D, "Selecciona una historia"), "")</f>
        <v>Como Jefe Cuartel quiero editar la información de un usuario para actualizar sus datos o cambiar su rol</v>
      </c>
      <c r="D567" s="22" t="s">
        <v>939</v>
      </c>
      <c r="E567" s="21" t="s">
        <v>1182</v>
      </c>
      <c r="F567" s="10" t="s">
        <v>1164</v>
      </c>
      <c r="G567" s="10" t="s">
        <v>1194</v>
      </c>
      <c r="H567" s="9" t="s">
        <v>17</v>
      </c>
    </row>
    <row r="568" spans="2:8" ht="30" x14ac:dyDescent="0.3">
      <c r="B568" s="18" t="str">
        <f>IFERROR(_xlfn.XLOOKUP(D568,'Historias de Usuario'!C:C,'Historias de Usuario'!B:B, "Selecciona una historia"), "")</f>
        <v>Gestión de Cuartel de Bomberos</v>
      </c>
      <c r="C568" s="10" t="str">
        <f>IFERROR(_xlfn.XLOOKUP(D568,'Historias de Usuario'!C:C,'Historias de Usuario'!D:D, "Selecciona una historia"), "")</f>
        <v>Como Jefe Cuartel quiero editar la información de un usuario para actualizar sus datos o cambiar su rol</v>
      </c>
      <c r="D568" s="22" t="s">
        <v>939</v>
      </c>
      <c r="E568" s="21" t="s">
        <v>1183</v>
      </c>
      <c r="F568" s="10" t="s">
        <v>1165</v>
      </c>
      <c r="G568" s="10" t="s">
        <v>1194</v>
      </c>
      <c r="H568" s="9" t="s">
        <v>17</v>
      </c>
    </row>
    <row r="569" spans="2:8" ht="30" x14ac:dyDescent="0.3">
      <c r="B569" s="18" t="str">
        <f>IFERROR(_xlfn.XLOOKUP(D569,'Historias de Usuario'!C:C,'Historias de Usuario'!B:B, "Selecciona una historia"), "")</f>
        <v>Gestión de Cuartel de Bomberos</v>
      </c>
      <c r="C569" s="10" t="str">
        <f>IFERROR(_xlfn.XLOOKUP(D569,'Historias de Usuario'!C:C,'Historias de Usuario'!D:D, "Selecciona una historia"), "")</f>
        <v>Como Jefe Cuartel quiero editar la información de un usuario para actualizar sus datos o cambiar su rol</v>
      </c>
      <c r="D569" s="22" t="s">
        <v>939</v>
      </c>
      <c r="E569" s="21" t="s">
        <v>1207</v>
      </c>
      <c r="F569" s="10" t="s">
        <v>396</v>
      </c>
      <c r="G569" s="10" t="s">
        <v>1194</v>
      </c>
      <c r="H569" s="9" t="s">
        <v>17</v>
      </c>
    </row>
    <row r="570" spans="2:8" ht="30" x14ac:dyDescent="0.3">
      <c r="B570" s="18" t="str">
        <f>IFERROR(_xlfn.XLOOKUP(D570,'Historias de Usuario'!C:C,'Historias de Usuario'!B:B, "Selecciona una historia"), "")</f>
        <v>Gestión de Cuartel de Bomberos</v>
      </c>
      <c r="C570" s="10" t="str">
        <f>IFERROR(_xlfn.XLOOKUP(D570,'Historias de Usuario'!C:C,'Historias de Usuario'!D:D, "Selecciona una historia"), "")</f>
        <v>Como Jefe Cuartel quiero editar la información de un usuario para actualizar sus datos o cambiar su rol</v>
      </c>
      <c r="D570" s="22" t="s">
        <v>939</v>
      </c>
      <c r="E570" s="21" t="s">
        <v>1208</v>
      </c>
      <c r="F570" s="10" t="s">
        <v>1166</v>
      </c>
      <c r="G570" s="10" t="s">
        <v>1194</v>
      </c>
      <c r="H570" s="9" t="s">
        <v>17</v>
      </c>
    </row>
    <row r="571" spans="2:8" ht="30" x14ac:dyDescent="0.3">
      <c r="B571" s="18" t="str">
        <f>IFERROR(_xlfn.XLOOKUP(D571,'Historias de Usuario'!C:C,'Historias de Usuario'!B:B, "Selecciona una historia"), "")</f>
        <v>Gestión de Cuartel de Bomberos</v>
      </c>
      <c r="C571" s="10" t="str">
        <f>IFERROR(_xlfn.XLOOKUP(D571,'Historias de Usuario'!C:C,'Historias de Usuario'!D:D, "Selecciona una historia"), "")</f>
        <v>Como Jefe Cuartel quiero editar la información de un usuario para actualizar sus datos o cambiar su rol</v>
      </c>
      <c r="D571" s="22" t="s">
        <v>939</v>
      </c>
      <c r="E571" s="21" t="s">
        <v>1209</v>
      </c>
      <c r="F571" s="10" t="s">
        <v>259</v>
      </c>
      <c r="G571" s="10" t="s">
        <v>1194</v>
      </c>
      <c r="H571" s="9" t="s">
        <v>17</v>
      </c>
    </row>
    <row r="572" spans="2:8" ht="30" x14ac:dyDescent="0.3">
      <c r="B572" s="18" t="str">
        <f>IFERROR(_xlfn.XLOOKUP(D572,'Historias de Usuario'!C:C,'Historias de Usuario'!B:B, "Selecciona una historia"), "")</f>
        <v>Gestión de Cuartel de Bomberos</v>
      </c>
      <c r="C572" s="10" t="str">
        <f>IFERROR(_xlfn.XLOOKUP(D572,'Historias de Usuario'!C:C,'Historias de Usuario'!D:D, "Selecciona una historia"), "")</f>
        <v>Como Jefe Cuartel quiero editar la información de un usuario para actualizar sus datos o cambiar su rol</v>
      </c>
      <c r="D572" s="22" t="s">
        <v>939</v>
      </c>
      <c r="E572" s="21" t="s">
        <v>1210</v>
      </c>
      <c r="F572" s="10" t="s">
        <v>374</v>
      </c>
      <c r="G572" s="10" t="s">
        <v>1194</v>
      </c>
      <c r="H572" s="9" t="s">
        <v>17</v>
      </c>
    </row>
    <row r="573" spans="2:8" ht="30" x14ac:dyDescent="0.3">
      <c r="B573" s="18" t="str">
        <f>IFERROR(_xlfn.XLOOKUP(D573,'Historias de Usuario'!C:C,'Historias de Usuario'!B:B, "Selecciona una historia"), "")</f>
        <v>Gestión de Cuartel de Bomberos</v>
      </c>
      <c r="C573" s="10" t="str">
        <f>IFERROR(_xlfn.XLOOKUP(D573,'Historias de Usuario'!C:C,'Historias de Usuario'!D:D, "Selecciona una historia"), "")</f>
        <v>Como Jefe Cuartel quiero editar la información de un usuario para actualizar sus datos o cambiar su rol</v>
      </c>
      <c r="D573" s="22" t="s">
        <v>939</v>
      </c>
      <c r="E573" s="21" t="s">
        <v>1211</v>
      </c>
      <c r="F573" s="10" t="s">
        <v>171</v>
      </c>
      <c r="G573" s="10" t="s">
        <v>1194</v>
      </c>
      <c r="H573" s="9" t="s">
        <v>17</v>
      </c>
    </row>
    <row r="574" spans="2:8" ht="30" x14ac:dyDescent="0.3">
      <c r="B574" s="20" t="str">
        <f>IFERROR(_xlfn.XLOOKUP(D574,'Historias de Usuario'!C:C,'Historias de Usuario'!B:B, "Selecciona una historia"), "")</f>
        <v>Gestión de Cuartel de Bomberos</v>
      </c>
      <c r="C574" s="21" t="str">
        <f>IFERROR(_xlfn.XLOOKUP(D574,'Historias de Usuario'!C:C,'Historias de Usuario'!D:D, "Selecciona una historia"), "")</f>
        <v>Como Jefe Cuartel quiero desactivar o activar usuarios para controlar el acceso sin eliminar cuentas</v>
      </c>
      <c r="D574" s="22" t="s">
        <v>940</v>
      </c>
      <c r="E574" s="21" t="s">
        <v>1212</v>
      </c>
      <c r="F574" s="21" t="s">
        <v>1175</v>
      </c>
      <c r="G574" s="10" t="s">
        <v>1194</v>
      </c>
      <c r="H574" s="22" t="s">
        <v>17</v>
      </c>
    </row>
    <row r="575" spans="2:8" ht="30" x14ac:dyDescent="0.3">
      <c r="B575" s="18" t="str">
        <f>IFERROR(_xlfn.XLOOKUP(D575,'Historias de Usuario'!C:C,'Historias de Usuario'!B:B, "Selecciona una historia"), "")</f>
        <v>Gestión de Cuartel de Bomberos</v>
      </c>
      <c r="C575" s="10" t="str">
        <f>IFERROR(_xlfn.XLOOKUP(D575,'Historias de Usuario'!C:C,'Historias de Usuario'!D:D, "Selecciona una historia"), "")</f>
        <v>Como Jefe Cuartel quiero desactivar o activar usuarios para controlar el acceso sin eliminar cuentas</v>
      </c>
      <c r="D575" s="22" t="s">
        <v>940</v>
      </c>
      <c r="E575" s="21" t="s">
        <v>1213</v>
      </c>
      <c r="F575" s="10" t="s">
        <v>1176</v>
      </c>
      <c r="G575" s="10" t="s">
        <v>1194</v>
      </c>
      <c r="H575" s="9" t="s">
        <v>17</v>
      </c>
    </row>
    <row r="576" spans="2:8" ht="30" x14ac:dyDescent="0.3">
      <c r="B576" s="18" t="str">
        <f>IFERROR(_xlfn.XLOOKUP(D576,'Historias de Usuario'!C:C,'Historias de Usuario'!B:B, "Selecciona una historia"), "")</f>
        <v>Gestión de Cuartel de Bomberos</v>
      </c>
      <c r="C576" s="10" t="str">
        <f>IFERROR(_xlfn.XLOOKUP(D576,'Historias de Usuario'!C:C,'Historias de Usuario'!D:D, "Selecciona una historia"), "")</f>
        <v>Como Jefe Cuartel quiero desactivar o activar usuarios para controlar el acceso sin eliminar cuentas</v>
      </c>
      <c r="D576" s="22" t="s">
        <v>940</v>
      </c>
      <c r="E576" s="21" t="s">
        <v>1214</v>
      </c>
      <c r="F576" s="10" t="s">
        <v>1177</v>
      </c>
      <c r="G576" s="10" t="s">
        <v>1194</v>
      </c>
      <c r="H576" s="9" t="s">
        <v>17</v>
      </c>
    </row>
    <row r="577" spans="2:8" ht="30" x14ac:dyDescent="0.3">
      <c r="B577" s="18" t="str">
        <f>IFERROR(_xlfn.XLOOKUP(D577,'Historias de Usuario'!C:C,'Historias de Usuario'!B:B, "Selecciona una historia"), "")</f>
        <v>Gestión de Cuartel de Bomberos</v>
      </c>
      <c r="C577" s="10" t="str">
        <f>IFERROR(_xlfn.XLOOKUP(D577,'Historias de Usuario'!C:C,'Historias de Usuario'!D:D, "Selecciona una historia"), "")</f>
        <v>Como Jefe Cuartel quiero desactivar o activar usuarios para controlar el acceso sin eliminar cuentas</v>
      </c>
      <c r="D577" s="22" t="s">
        <v>940</v>
      </c>
      <c r="E577" s="21" t="s">
        <v>1215</v>
      </c>
      <c r="F577" s="10" t="s">
        <v>1178</v>
      </c>
      <c r="G577" s="10" t="s">
        <v>1194</v>
      </c>
      <c r="H577" s="9" t="s">
        <v>17</v>
      </c>
    </row>
    <row r="578" spans="2:8" ht="30" x14ac:dyDescent="0.3">
      <c r="B578" s="18" t="str">
        <f>IFERROR(_xlfn.XLOOKUP(D578,'Historias de Usuario'!C:C,'Historias de Usuario'!B:B, "Selecciona una historia"), "")</f>
        <v>Gestión de Cuartel de Bomberos</v>
      </c>
      <c r="C578" s="10" t="str">
        <f>IFERROR(_xlfn.XLOOKUP(D578,'Historias de Usuario'!C:C,'Historias de Usuario'!D:D, "Selecciona una historia"), "")</f>
        <v>Como Jefe Cuartel quiero desactivar o activar usuarios para controlar el acceso sin eliminar cuentas</v>
      </c>
      <c r="D578" s="22" t="s">
        <v>940</v>
      </c>
      <c r="E578" s="21" t="s">
        <v>1216</v>
      </c>
      <c r="F578" s="10" t="s">
        <v>412</v>
      </c>
      <c r="G578" s="10" t="s">
        <v>1194</v>
      </c>
      <c r="H578" s="9" t="s">
        <v>17</v>
      </c>
    </row>
    <row r="579" spans="2:8" ht="43.2" x14ac:dyDescent="0.3">
      <c r="B579" s="20" t="str">
        <f>IFERROR(_xlfn.XLOOKUP(D579,'Historias de Usuario'!C:C,'Historias de Usuario'!B:B, "Selecciona una historia"), "")</f>
        <v>Gestión de Cuartel de Bomberos</v>
      </c>
      <c r="C579" s="21" t="str">
        <f>IFERROR(_xlfn.XLOOKUP(D579,'Historias de Usuario'!C:C,'Historias de Usuario'!D:D, "Selecciona una historia"), "")</f>
        <v>Como Jefe Cuartel quiero eliminar cuentas de usuarios para mantener un control de los usuarios que tienen acceso al sistema</v>
      </c>
      <c r="D579" s="22" t="s">
        <v>1221</v>
      </c>
      <c r="E579" s="21" t="s">
        <v>1223</v>
      </c>
      <c r="F579" s="21" t="s">
        <v>180</v>
      </c>
      <c r="G579" s="10" t="s">
        <v>1194</v>
      </c>
      <c r="H579" s="9" t="s">
        <v>17</v>
      </c>
    </row>
    <row r="580" spans="2:8" ht="43.2" x14ac:dyDescent="0.3">
      <c r="B580" s="20" t="str">
        <f>IFERROR(_xlfn.XLOOKUP(D580,'Historias de Usuario'!C:C,'Historias de Usuario'!B:B, "Selecciona una historia"), "")</f>
        <v>Gestión de Cuartel de Bomberos</v>
      </c>
      <c r="C580" s="21" t="str">
        <f>IFERROR(_xlfn.XLOOKUP(D580,'Historias de Usuario'!C:C,'Historias de Usuario'!D:D, "Selecciona una historia"), "")</f>
        <v>Como Jefe Cuartel quiero eliminar cuentas de usuarios para mantener un control de los usuarios que tienen acceso al sistema</v>
      </c>
      <c r="D580" s="22" t="s">
        <v>1221</v>
      </c>
      <c r="E580" s="21" t="s">
        <v>1224</v>
      </c>
      <c r="F580" s="10" t="s">
        <v>1060</v>
      </c>
      <c r="G580" s="10" t="s">
        <v>1194</v>
      </c>
      <c r="H580" s="9" t="s">
        <v>17</v>
      </c>
    </row>
    <row r="581" spans="2:8" ht="43.2" x14ac:dyDescent="0.3">
      <c r="B581" s="20" t="str">
        <f>IFERROR(_xlfn.XLOOKUP(D581,'Historias de Usuario'!C:C,'Historias de Usuario'!B:B, "Selecciona una historia"), "")</f>
        <v>Gestión de Cuartel de Bomberos</v>
      </c>
      <c r="C581" s="21" t="str">
        <f>IFERROR(_xlfn.XLOOKUP(D581,'Historias de Usuario'!C:C,'Historias de Usuario'!D:D, "Selecciona una historia"), "")</f>
        <v>Como Jefe Cuartel quiero eliminar cuentas de usuarios para mantener un control de los usuarios que tienen acceso al sistema</v>
      </c>
      <c r="D581" s="22" t="s">
        <v>1221</v>
      </c>
      <c r="E581" s="21" t="s">
        <v>1225</v>
      </c>
      <c r="F581" s="10" t="s">
        <v>1061</v>
      </c>
      <c r="G581" s="10" t="s">
        <v>1194</v>
      </c>
      <c r="H581" s="9" t="s">
        <v>17</v>
      </c>
    </row>
    <row r="582" spans="2:8" ht="43.2" x14ac:dyDescent="0.3">
      <c r="B582" s="20" t="str">
        <f>IFERROR(_xlfn.XLOOKUP(D582,'Historias de Usuario'!C:C,'Historias de Usuario'!B:B, "Selecciona una historia"), "")</f>
        <v>Gestión de Cuartel de Bomberos</v>
      </c>
      <c r="C582" s="21" t="str">
        <f>IFERROR(_xlfn.XLOOKUP(D582,'Historias de Usuario'!C:C,'Historias de Usuario'!D:D, "Selecciona una historia"), "")</f>
        <v>Como Jefe Cuartel quiero eliminar cuentas de usuarios para mantener un control de los usuarios que tienen acceso al sistema</v>
      </c>
      <c r="D582" s="22" t="s">
        <v>1221</v>
      </c>
      <c r="E582" s="21" t="s">
        <v>1226</v>
      </c>
      <c r="F582" s="10" t="s">
        <v>1062</v>
      </c>
      <c r="G582" s="10" t="s">
        <v>1194</v>
      </c>
      <c r="H582" s="9" t="s">
        <v>17</v>
      </c>
    </row>
    <row r="583" spans="2:8" ht="43.2" x14ac:dyDescent="0.3">
      <c r="B583" s="20" t="str">
        <f>IFERROR(_xlfn.XLOOKUP(D583,'Historias de Usuario'!C:C,'Historias de Usuario'!B:B, "Selecciona una historia"), "")</f>
        <v>Gestión de Cuartel de Bomberos</v>
      </c>
      <c r="C583" s="21" t="str">
        <f>IFERROR(_xlfn.XLOOKUP(D583,'Historias de Usuario'!C:C,'Historias de Usuario'!D:D, "Selecciona una historia"), "")</f>
        <v>Como Jefe Cuartel quiero eliminar cuentas de usuarios para mantener un control de los usuarios que tienen acceso al sistema</v>
      </c>
      <c r="D583" s="22" t="s">
        <v>1221</v>
      </c>
      <c r="E583" s="21" t="s">
        <v>1227</v>
      </c>
      <c r="F583" s="21" t="s">
        <v>1063</v>
      </c>
      <c r="G583" s="10" t="s">
        <v>1194</v>
      </c>
      <c r="H583" s="9" t="s">
        <v>17</v>
      </c>
    </row>
    <row r="584" spans="2:8" ht="43.2" x14ac:dyDescent="0.3">
      <c r="B584" s="20" t="s">
        <v>914</v>
      </c>
      <c r="C584" s="21" t="str">
        <f>IFERROR(_xlfn.XLOOKUP(D584,'Historias de Usuario'!C:C,'Historias de Usuario'!D:D, "Selecciona una historia"), "")</f>
        <v>Como Jefe de Cuartel quiero ver un dashboard con estadísticas y resumen de mis vehículos para tener una visión general del estado operativo del cuartel</v>
      </c>
      <c r="D584" s="22" t="s">
        <v>1268</v>
      </c>
      <c r="E584" s="21" t="s">
        <v>1269</v>
      </c>
      <c r="F584" s="21" t="s">
        <v>1273</v>
      </c>
      <c r="G584" s="21" t="s">
        <v>1270</v>
      </c>
      <c r="H584" s="22" t="s">
        <v>17</v>
      </c>
    </row>
    <row r="585" spans="2:8" ht="43.2" x14ac:dyDescent="0.3">
      <c r="B585" s="20" t="str">
        <f>IFERROR(_xlfn.XLOOKUP(D585,'Historias de Usuario'!C:C,'Historias de Usuario'!B:B, "Selecciona una historia"), "")</f>
        <v>Gestión de Cuartel de Bomberos</v>
      </c>
      <c r="C585" s="21" t="str">
        <f>IFERROR(_xlfn.XLOOKUP(D585,'Historias de Usuario'!C:C,'Historias de Usuario'!D:D, "Selecciona una historia"), "")</f>
        <v>Como Jefe de Cuartel quiero ver un dashboard con estadísticas y resumen de mis vehículos para tener una visión general del estado operativo del cuartel</v>
      </c>
      <c r="D585" s="22" t="s">
        <v>1268</v>
      </c>
      <c r="E585" s="21" t="s">
        <v>1271</v>
      </c>
      <c r="F585" s="21" t="s">
        <v>1274</v>
      </c>
      <c r="G585" s="21" t="s">
        <v>1270</v>
      </c>
      <c r="H585" s="22" t="s">
        <v>17</v>
      </c>
    </row>
    <row r="586" spans="2:8" ht="43.2" x14ac:dyDescent="0.3">
      <c r="B586" s="20" t="str">
        <f>IFERROR(_xlfn.XLOOKUP(D586,'Historias de Usuario'!C:C,'Historias de Usuario'!B:B, "Selecciona una historia"), "")</f>
        <v>Gestión de Cuartel de Bomberos</v>
      </c>
      <c r="C586" s="21" t="str">
        <f>IFERROR(_xlfn.XLOOKUP(D586,'Historias de Usuario'!C:C,'Historias de Usuario'!D:D, "Selecciona una historia"), "")</f>
        <v>Como Jefe de Cuartel quiero ver un dashboard con estadísticas y resumen de mis vehículos para tener una visión general del estado operativo del cuartel</v>
      </c>
      <c r="D586" s="22" t="s">
        <v>1268</v>
      </c>
      <c r="E586" s="21" t="s">
        <v>1281</v>
      </c>
      <c r="F586" s="10" t="s">
        <v>1275</v>
      </c>
      <c r="G586" s="21" t="s">
        <v>1270</v>
      </c>
      <c r="H586" s="22" t="s">
        <v>17</v>
      </c>
    </row>
    <row r="587" spans="2:8" ht="43.2" x14ac:dyDescent="0.3">
      <c r="B587" s="20" t="str">
        <f>IFERROR(_xlfn.XLOOKUP(D587,'Historias de Usuario'!C:C,'Historias de Usuario'!B:B, "Selecciona una historia"), "")</f>
        <v>Gestión de Cuartel de Bomberos</v>
      </c>
      <c r="C587" s="21" t="str">
        <f>IFERROR(_xlfn.XLOOKUP(D587,'Historias de Usuario'!C:C,'Historias de Usuario'!D:D, "Selecciona una historia"), "")</f>
        <v>Como Jefe de Cuartel quiero ver un dashboard con estadísticas y resumen de mis vehículos para tener una visión general del estado operativo del cuartel</v>
      </c>
      <c r="D587" s="22" t="s">
        <v>1268</v>
      </c>
      <c r="E587" s="21" t="s">
        <v>1282</v>
      </c>
      <c r="F587" s="10" t="s">
        <v>1276</v>
      </c>
      <c r="G587" s="21" t="s">
        <v>1270</v>
      </c>
      <c r="H587" s="22" t="s">
        <v>17</v>
      </c>
    </row>
    <row r="588" spans="2:8" ht="43.2" x14ac:dyDescent="0.3">
      <c r="B588" s="20" t="str">
        <f>IFERROR(_xlfn.XLOOKUP(D588,'Historias de Usuario'!C:C,'Historias de Usuario'!B:B, "Selecciona una historia"), "")</f>
        <v>Gestión de Cuartel de Bomberos</v>
      </c>
      <c r="C588" s="21" t="str">
        <f>IFERROR(_xlfn.XLOOKUP(D588,'Historias de Usuario'!C:C,'Historias de Usuario'!D:D, "Selecciona una historia"), "")</f>
        <v>Como Jefe de Cuartel quiero ver un dashboard con estadísticas y resumen de mis vehículos para tener una visión general del estado operativo del cuartel</v>
      </c>
      <c r="D588" s="22" t="s">
        <v>1268</v>
      </c>
      <c r="E588" s="21" t="s">
        <v>1283</v>
      </c>
      <c r="F588" s="10" t="s">
        <v>1277</v>
      </c>
      <c r="G588" s="21" t="s">
        <v>1270</v>
      </c>
      <c r="H588" s="22" t="s">
        <v>17</v>
      </c>
    </row>
    <row r="589" spans="2:8" ht="43.2" x14ac:dyDescent="0.3">
      <c r="B589" s="20" t="str">
        <f>IFERROR(_xlfn.XLOOKUP(D589,'Historias de Usuario'!C:C,'Historias de Usuario'!B:B, "Selecciona una historia"), "")</f>
        <v>Gestión de Cuartel de Bomberos</v>
      </c>
      <c r="C589" s="21" t="str">
        <f>IFERROR(_xlfn.XLOOKUP(D589,'Historias de Usuario'!C:C,'Historias de Usuario'!D:D, "Selecciona una historia"), "")</f>
        <v>Como Jefe de Cuartel quiero ver un dashboard con estadísticas y resumen de mis vehículos para tener una visión general del estado operativo del cuartel</v>
      </c>
      <c r="D589" s="22" t="s">
        <v>1268</v>
      </c>
      <c r="E589" s="21" t="s">
        <v>1284</v>
      </c>
      <c r="F589" s="10" t="s">
        <v>1278</v>
      </c>
      <c r="G589" s="21" t="s">
        <v>1270</v>
      </c>
      <c r="H589" s="22" t="s">
        <v>17</v>
      </c>
    </row>
    <row r="590" spans="2:8" ht="43.2" x14ac:dyDescent="0.3">
      <c r="B590" s="20" t="str">
        <f>IFERROR(_xlfn.XLOOKUP(D590,'Historias de Usuario'!C:C,'Historias de Usuario'!B:B, "Selecciona una historia"), "")</f>
        <v>Gestión de Cuartel de Bomberos</v>
      </c>
      <c r="C590" s="21" t="str">
        <f>IFERROR(_xlfn.XLOOKUP(D590,'Historias de Usuario'!C:C,'Historias de Usuario'!D:D, "Selecciona una historia"), "")</f>
        <v xml:space="preserve"> Como Jefe de Cuartel quiero ver el listado completo de vehículos para tener una vista más detallada y navegar al historial de cada vehículo</v>
      </c>
      <c r="D590" s="22" t="s">
        <v>1286</v>
      </c>
      <c r="E590" s="21" t="s">
        <v>1285</v>
      </c>
      <c r="F590" s="5" t="s">
        <v>1279</v>
      </c>
      <c r="G590" s="21" t="s">
        <v>1270</v>
      </c>
      <c r="H590" s="22" t="s">
        <v>17</v>
      </c>
    </row>
    <row r="591" spans="2:8" ht="43.2" x14ac:dyDescent="0.3">
      <c r="B591" s="18" t="str">
        <f>IFERROR(_xlfn.XLOOKUP(D591,'Historias de Usuario'!C:C,'Historias de Usuario'!B:B, "Selecciona una historia"), "")</f>
        <v>Gestión de Cuartel de Bomberos</v>
      </c>
      <c r="C591" s="10" t="str">
        <f>IFERROR(_xlfn.XLOOKUP(D591,'Historias de Usuario'!C:C,'Historias de Usuario'!D:D, "Selecciona una historia"), "")</f>
        <v xml:space="preserve"> Como Jefe de Cuartel quiero ver el listado completo de vehículos para tener una vista más detallada y navegar al historial de cada vehículo</v>
      </c>
      <c r="D591" s="22" t="s">
        <v>1286</v>
      </c>
      <c r="E591" s="21" t="s">
        <v>1289</v>
      </c>
      <c r="F591" s="10" t="s">
        <v>1288</v>
      </c>
      <c r="G591" s="21" t="s">
        <v>1270</v>
      </c>
      <c r="H591" s="22" t="s">
        <v>17</v>
      </c>
    </row>
    <row r="592" spans="2:8" ht="43.2" x14ac:dyDescent="0.3">
      <c r="B592" s="18" t="str">
        <f>IFERROR(_xlfn.XLOOKUP(D592,'Historias de Usuario'!C:C,'Historias de Usuario'!B:B, "Selecciona una historia"), "")</f>
        <v>Gestión de Cuartel de Bomberos</v>
      </c>
      <c r="C592" s="10" t="str">
        <f>IFERROR(_xlfn.XLOOKUP(D592,'Historias de Usuario'!C:C,'Historias de Usuario'!D:D, "Selecciona una historia"), "")</f>
        <v xml:space="preserve"> Como Jefe de Cuartel quiero ver el listado completo de vehículos para tener una vista más detallada y navegar al historial de cada vehículo</v>
      </c>
      <c r="D592" s="22" t="s">
        <v>1286</v>
      </c>
      <c r="E592" s="21" t="s">
        <v>1290</v>
      </c>
      <c r="F592" s="10" t="s">
        <v>1287</v>
      </c>
      <c r="G592" s="21" t="s">
        <v>1270</v>
      </c>
      <c r="H592" s="22" t="s">
        <v>17</v>
      </c>
    </row>
    <row r="593" spans="2:8" ht="43.2" x14ac:dyDescent="0.3">
      <c r="B593" s="18" t="str">
        <f>IFERROR(_xlfn.XLOOKUP(D593,'Historias de Usuario'!C:C,'Historias de Usuario'!B:B, "Selecciona una historia"), "")</f>
        <v>Gestión de Cuartel de Bomberos</v>
      </c>
      <c r="C593" s="10" t="str">
        <f>IFERROR(_xlfn.XLOOKUP(D593,'Historias de Usuario'!C:C,'Historias de Usuario'!D:D, "Selecciona una historia"), "")</f>
        <v xml:space="preserve"> Como Jefe de Cuartel quiero ver el listado completo de vehículos para tener una vista más detallada y navegar al historial de cada vehículo</v>
      </c>
      <c r="D593" s="22" t="s">
        <v>1286</v>
      </c>
      <c r="E593" s="21" t="s">
        <v>1292</v>
      </c>
      <c r="F593" s="10" t="s">
        <v>1291</v>
      </c>
      <c r="G593" s="21" t="s">
        <v>1270</v>
      </c>
      <c r="H593" s="22" t="s">
        <v>17</v>
      </c>
    </row>
    <row r="594" spans="2:8" ht="43.2" x14ac:dyDescent="0.3">
      <c r="B594" s="18" t="str">
        <f>IFERROR(_xlfn.XLOOKUP(D594,'Historias de Usuario'!C:C,'Historias de Usuario'!B:B, "Selecciona una historia"), "")</f>
        <v>Gestión de Taller de Mantención</v>
      </c>
      <c r="C594" s="10" t="str">
        <f>IFERROR(_xlfn.XLOOKUP(D594,'Historias de Usuario'!C:C,'Historias de Usuario'!D:D, "Selecciona una historia"), "")</f>
        <v>Como Admin Taller o Mecánico quiero ver un dashboard con resumen del taller para tener una visión general del estado de las mantenciones</v>
      </c>
      <c r="D594" s="9" t="s">
        <v>1294</v>
      </c>
      <c r="E594" s="21" t="s">
        <v>1295</v>
      </c>
      <c r="F594" s="6" t="s">
        <v>1297</v>
      </c>
      <c r="G594" s="21" t="s">
        <v>1270</v>
      </c>
      <c r="H594" s="22" t="s">
        <v>17</v>
      </c>
    </row>
    <row r="595" spans="2:8" ht="43.2" x14ac:dyDescent="0.3">
      <c r="B595" s="18" t="str">
        <f>IFERROR(_xlfn.XLOOKUP(D595,'Historias de Usuario'!C:C,'Historias de Usuario'!B:B, "Selecciona una historia"), "")</f>
        <v>Gestión de Taller de Mantención</v>
      </c>
      <c r="C595" s="10" t="str">
        <f>IFERROR(_xlfn.XLOOKUP(D595,'Historias de Usuario'!C:C,'Historias de Usuario'!D:D, "Selecciona una historia"), "")</f>
        <v>Como Admin Taller o Mecánico quiero ver un dashboard con resumen del taller para tener una visión general del estado de las mantenciones</v>
      </c>
      <c r="D595" s="9" t="s">
        <v>1294</v>
      </c>
      <c r="E595" s="21" t="s">
        <v>1300</v>
      </c>
      <c r="F595" s="6" t="s">
        <v>1296</v>
      </c>
      <c r="G595" s="21" t="s">
        <v>1270</v>
      </c>
      <c r="H595" s="22" t="s">
        <v>17</v>
      </c>
    </row>
    <row r="596" spans="2:8" ht="43.2" x14ac:dyDescent="0.3">
      <c r="B596" s="18" t="str">
        <f>IFERROR(_xlfn.XLOOKUP(D596,'Historias de Usuario'!C:C,'Historias de Usuario'!B:B, "Selecciona una historia"), "")</f>
        <v>Gestión de Taller de Mantención</v>
      </c>
      <c r="C596" s="10" t="str">
        <f>IFERROR(_xlfn.XLOOKUP(D596,'Historias de Usuario'!C:C,'Historias de Usuario'!D:D, "Selecciona una historia"), "")</f>
        <v>Como Admin Taller o Mecánico quiero ver un dashboard con resumen del taller para tener una visión general del estado de las mantenciones</v>
      </c>
      <c r="D596" s="9" t="s">
        <v>1294</v>
      </c>
      <c r="E596" s="21" t="s">
        <v>1301</v>
      </c>
      <c r="F596" s="6" t="s">
        <v>1298</v>
      </c>
      <c r="G596" s="21" t="s">
        <v>1270</v>
      </c>
      <c r="H596" s="22" t="s">
        <v>17</v>
      </c>
    </row>
    <row r="597" spans="2:8" ht="43.2" x14ac:dyDescent="0.3">
      <c r="B597" s="18" t="str">
        <f>IFERROR(_xlfn.XLOOKUP(D597,'Historias de Usuario'!C:C,'Historias de Usuario'!B:B, "Selecciona una historia"), "")</f>
        <v>Gestión de Taller de Mantención</v>
      </c>
      <c r="C597" s="10" t="str">
        <f>IFERROR(_xlfn.XLOOKUP(D597,'Historias de Usuario'!C:C,'Historias de Usuario'!D:D, "Selecciona una historia"), "")</f>
        <v>Como Admin Taller o Mecánico quiero ver un dashboard con resumen del taller para tener una visión general del estado de las mantenciones</v>
      </c>
      <c r="D597" s="9" t="s">
        <v>1294</v>
      </c>
      <c r="E597" s="21" t="s">
        <v>1304</v>
      </c>
      <c r="F597" s="6" t="s">
        <v>1312</v>
      </c>
      <c r="G597" s="21" t="s">
        <v>1270</v>
      </c>
      <c r="H597" s="22" t="s">
        <v>17</v>
      </c>
    </row>
    <row r="598" spans="2:8" ht="43.2" x14ac:dyDescent="0.3">
      <c r="B598" s="18" t="str">
        <f>IFERROR(_xlfn.XLOOKUP(D598,'Historias de Usuario'!C:C,'Historias de Usuario'!B:B, "Selecciona una historia"), "")</f>
        <v>Gestión de Taller de Mantención</v>
      </c>
      <c r="C598" s="10" t="str">
        <f>IFERROR(_xlfn.XLOOKUP(D598,'Historias de Usuario'!C:C,'Historias de Usuario'!D:D, "Selecciona una historia"), "")</f>
        <v>Como Admin Taller o Mecánico quiero ver un dashboard con resumen del taller para tener una visión general del estado de las mantenciones</v>
      </c>
      <c r="D598" s="9" t="s">
        <v>1294</v>
      </c>
      <c r="E598" s="21" t="s">
        <v>1305</v>
      </c>
      <c r="F598" s="6" t="s">
        <v>1313</v>
      </c>
      <c r="G598" s="21" t="s">
        <v>1270</v>
      </c>
      <c r="H598" s="22" t="s">
        <v>17</v>
      </c>
    </row>
    <row r="599" spans="2:8" ht="43.2" x14ac:dyDescent="0.3">
      <c r="B599" s="18" t="str">
        <f>IFERROR(_xlfn.XLOOKUP(D599,'Historias de Usuario'!C:C,'Historias de Usuario'!B:B, "Selecciona una historia"), "")</f>
        <v>Gestión de Taller de Mantención</v>
      </c>
      <c r="C599" s="10" t="str">
        <f>IFERROR(_xlfn.XLOOKUP(D599,'Historias de Usuario'!C:C,'Historias de Usuario'!D:D, "Selecciona una historia"), "")</f>
        <v>Como Admin Taller o Mecánico quiero ver un dashboard con resumen del taller para tener una visión general del estado de las mantenciones</v>
      </c>
      <c r="D599" s="9" t="s">
        <v>1294</v>
      </c>
      <c r="E599" s="21" t="s">
        <v>1306</v>
      </c>
      <c r="F599" s="6" t="s">
        <v>1314</v>
      </c>
      <c r="G599" s="21" t="s">
        <v>1270</v>
      </c>
      <c r="H599" s="22" t="s">
        <v>17</v>
      </c>
    </row>
    <row r="600" spans="2:8" ht="43.2" x14ac:dyDescent="0.3">
      <c r="B600" s="18" t="str">
        <f>IFERROR(_xlfn.XLOOKUP(D600,'Historias de Usuario'!C:C,'Historias de Usuario'!B:B, "Selecciona una historia"), "")</f>
        <v>Gestión de Taller de Mantención</v>
      </c>
      <c r="C600" s="10" t="str">
        <f>IFERROR(_xlfn.XLOOKUP(D600,'Historias de Usuario'!C:C,'Historias de Usuario'!D:D, "Selecciona una historia"), "")</f>
        <v>Como Admin Taller o Mecánico quiero ver un dashboard con resumen del taller para tener una visión general del estado de las mantenciones</v>
      </c>
      <c r="D600" s="9" t="s">
        <v>1294</v>
      </c>
      <c r="E600" s="21" t="s">
        <v>1307</v>
      </c>
      <c r="F600" s="6" t="s">
        <v>1315</v>
      </c>
      <c r="G600" s="21" t="s">
        <v>1270</v>
      </c>
      <c r="H600" s="22" t="s">
        <v>17</v>
      </c>
    </row>
    <row r="601" spans="2:8" ht="43.2" x14ac:dyDescent="0.3">
      <c r="B601" s="18" t="str">
        <f>IFERROR(_xlfn.XLOOKUP(D601,'Historias de Usuario'!C:C,'Historias de Usuario'!B:B, "Selecciona una historia"), "")</f>
        <v>Gestión de Taller de Mantención</v>
      </c>
      <c r="C601" s="10" t="str">
        <f>IFERROR(_xlfn.XLOOKUP(D601,'Historias de Usuario'!C:C,'Historias de Usuario'!D:D, "Selecciona una historia"), "")</f>
        <v>Como Admin Taller o Mecánico quiero ver un dashboard con resumen del taller para tener una visión general del estado de las mantenciones</v>
      </c>
      <c r="D601" s="9" t="s">
        <v>1294</v>
      </c>
      <c r="E601" s="21" t="s">
        <v>1308</v>
      </c>
      <c r="F601" s="6" t="s">
        <v>1299</v>
      </c>
      <c r="G601" s="21" t="s">
        <v>1270</v>
      </c>
      <c r="H601" s="22" t="s">
        <v>17</v>
      </c>
    </row>
    <row r="602" spans="2:8" ht="43.2" x14ac:dyDescent="0.3">
      <c r="B602" s="18" t="str">
        <f>IFERROR(_xlfn.XLOOKUP(D602,'Historias de Usuario'!C:C,'Historias de Usuario'!B:B, "Selecciona una historia"), "")</f>
        <v>Gestión de Taller de Mantención</v>
      </c>
      <c r="C602" s="10" t="str">
        <f>IFERROR(_xlfn.XLOOKUP(D602,'Historias de Usuario'!C:C,'Historias de Usuario'!D:D, "Selecciona una historia"), "")</f>
        <v>Como Admin Taller o Mecánico quiero ver un dashboard con resumen del taller para tener una visión general del estado de las mantenciones</v>
      </c>
      <c r="D602" s="9" t="s">
        <v>1294</v>
      </c>
      <c r="E602" s="48" t="s">
        <v>1309</v>
      </c>
      <c r="F602" s="6" t="s">
        <v>1316</v>
      </c>
      <c r="G602" s="21" t="s">
        <v>1270</v>
      </c>
      <c r="H602" s="22" t="s">
        <v>17</v>
      </c>
    </row>
    <row r="603" spans="2:8" ht="43.2" x14ac:dyDescent="0.3">
      <c r="B603" s="18" t="str">
        <f>IFERROR(_xlfn.XLOOKUP(D603,'Historias de Usuario'!C:C,'Historias de Usuario'!B:B, "Selecciona una historia"), "")</f>
        <v>Gestión de Taller de Mantención</v>
      </c>
      <c r="C603" s="10" t="str">
        <f>IFERROR(_xlfn.XLOOKUP(D603,'Historias de Usuario'!C:C,'Historias de Usuario'!D:D, "Selecciona una historia"), "")</f>
        <v>Como Admin Taller o Mecánico quiero ver un dashboard con resumen del taller para tener una visión general del estado de las mantenciones</v>
      </c>
      <c r="D603" s="9" t="s">
        <v>1294</v>
      </c>
      <c r="E603" s="48" t="s">
        <v>1310</v>
      </c>
      <c r="F603" s="6" t="s">
        <v>1317</v>
      </c>
      <c r="G603" s="21" t="s">
        <v>1270</v>
      </c>
      <c r="H603" s="22" t="s">
        <v>17</v>
      </c>
    </row>
    <row r="604" spans="2:8" ht="43.2" x14ac:dyDescent="0.3">
      <c r="B604" s="18" t="str">
        <f>IFERROR(_xlfn.XLOOKUP(D604,'Historias de Usuario'!C:C,'Historias de Usuario'!B:B, "Selecciona una historia"), "")</f>
        <v>Gestión de Taller de Mantención</v>
      </c>
      <c r="C604" s="10" t="str">
        <f>IFERROR(_xlfn.XLOOKUP(D604,'Historias de Usuario'!C:C,'Historias de Usuario'!D:D, "Selecciona una historia"), "")</f>
        <v>Como Admin Taller o Mecánico quiero ver un dashboard con resumen del taller para tener una visión general del estado de las mantenciones</v>
      </c>
      <c r="D604" s="9" t="s">
        <v>1294</v>
      </c>
      <c r="E604" s="48" t="s">
        <v>1311</v>
      </c>
      <c r="F604" s="6" t="s">
        <v>1318</v>
      </c>
      <c r="G604" s="21" t="s">
        <v>1270</v>
      </c>
      <c r="H604" s="22" t="s">
        <v>17</v>
      </c>
    </row>
    <row r="605" spans="2:8" ht="43.2" x14ac:dyDescent="0.3">
      <c r="B605" s="18" t="str">
        <f>IFERROR(_xlfn.XLOOKUP(D605,'Historias de Usuario'!C:C,'Historias de Usuario'!B:B, "Selecciona una historia"), "")</f>
        <v>Gestión de Taller de Mantención</v>
      </c>
      <c r="C605" s="10" t="str">
        <f>IFERROR(_xlfn.XLOOKUP(D605,'Historias de Usuario'!C:C,'Historias de Usuario'!D:D, "Selecciona una historia"), "")</f>
        <v>Como Admin Taller o Mecánico quiero ver el listado de órdenes de mantención del taller para gestionar las mantenciones activas y completadas</v>
      </c>
      <c r="D605" s="9" t="s">
        <v>1303</v>
      </c>
      <c r="E605" s="48" t="s">
        <v>1319</v>
      </c>
      <c r="F605" s="6" t="s">
        <v>1361</v>
      </c>
      <c r="G605" s="21" t="s">
        <v>1270</v>
      </c>
      <c r="H605" s="22" t="s">
        <v>17</v>
      </c>
    </row>
    <row r="606" spans="2:8" ht="43.2" x14ac:dyDescent="0.3">
      <c r="B606" s="18" t="str">
        <f>IFERROR(_xlfn.XLOOKUP(D606,'Historias de Usuario'!C:C,'Historias de Usuario'!B:B, "Selecciona una historia"), "")</f>
        <v>Gestión de Taller de Mantención</v>
      </c>
      <c r="C606" s="10" t="str">
        <f>IFERROR(_xlfn.XLOOKUP(D606,'Historias de Usuario'!C:C,'Historias de Usuario'!D:D, "Selecciona una historia"), "")</f>
        <v>Como Admin Taller o Mecánico quiero ver el listado de órdenes de mantención del taller para gestionar las mantenciones activas y completadas</v>
      </c>
      <c r="D606" s="9" t="s">
        <v>1303</v>
      </c>
      <c r="E606" s="48" t="s">
        <v>1320</v>
      </c>
      <c r="F606" s="6" t="s">
        <v>1360</v>
      </c>
      <c r="G606" s="21" t="s">
        <v>1270</v>
      </c>
      <c r="H606" s="22" t="s">
        <v>17</v>
      </c>
    </row>
    <row r="607" spans="2:8" ht="43.2" x14ac:dyDescent="0.3">
      <c r="B607" s="18" t="str">
        <f>IFERROR(_xlfn.XLOOKUP(D607,'Historias de Usuario'!C:C,'Historias de Usuario'!B:B, "Selecciona una historia"), "")</f>
        <v>Gestión de Taller de Mantención</v>
      </c>
      <c r="C607" s="10" t="str">
        <f>IFERROR(_xlfn.XLOOKUP(D607,'Historias de Usuario'!C:C,'Historias de Usuario'!D:D, "Selecciona una historia"), "")</f>
        <v>Como Admin Taller o Mecánico quiero ver el listado de órdenes de mantención del taller para gestionar las mantenciones activas y completadas</v>
      </c>
      <c r="D607" s="9" t="s">
        <v>1303</v>
      </c>
      <c r="E607" s="48" t="s">
        <v>1321</v>
      </c>
      <c r="F607" s="10" t="s">
        <v>1359</v>
      </c>
      <c r="G607" s="21" t="s">
        <v>1270</v>
      </c>
      <c r="H607" s="22" t="s">
        <v>17</v>
      </c>
    </row>
    <row r="608" spans="2:8" ht="43.2" x14ac:dyDescent="0.3">
      <c r="B608" s="18" t="str">
        <f>IFERROR(_xlfn.XLOOKUP(D608,'Historias de Usuario'!C:C,'Historias de Usuario'!B:B, "Selecciona una historia"), "")</f>
        <v>Gestión de Taller de Mantención</v>
      </c>
      <c r="C608" s="10" t="str">
        <f>IFERROR(_xlfn.XLOOKUP(D608,'Historias de Usuario'!C:C,'Historias de Usuario'!D:D, "Selecciona una historia"), "")</f>
        <v>Como Admin Taller o Mecánico quiero ver el listado de órdenes de mantención del taller para gestionar las mantenciones activas y completadas</v>
      </c>
      <c r="D608" s="9" t="s">
        <v>1303</v>
      </c>
      <c r="E608" s="48" t="s">
        <v>1322</v>
      </c>
      <c r="F608" s="10" t="s">
        <v>1358</v>
      </c>
      <c r="G608" s="21" t="s">
        <v>1270</v>
      </c>
      <c r="H608" s="22" t="s">
        <v>17</v>
      </c>
    </row>
    <row r="609" spans="2:8" ht="43.2" x14ac:dyDescent="0.3">
      <c r="B609" s="18" t="str">
        <f>IFERROR(_xlfn.XLOOKUP(D609,'Historias de Usuario'!C:C,'Historias de Usuario'!B:B, "Selecciona una historia"), "")</f>
        <v>Gestión de Taller de Mantención</v>
      </c>
      <c r="C609" s="10" t="str">
        <f>IFERROR(_xlfn.XLOOKUP(D609,'Historias de Usuario'!C:C,'Historias de Usuario'!D:D, "Selecciona una historia"), "")</f>
        <v>Como Admin Taller o Mecánico quiero ver el listado de órdenes de mantención del taller para gestionar las mantenciones activas y completadas</v>
      </c>
      <c r="D609" s="9" t="s">
        <v>1303</v>
      </c>
      <c r="E609" s="48" t="s">
        <v>1323</v>
      </c>
      <c r="F609" s="10" t="s">
        <v>1357</v>
      </c>
      <c r="G609" s="21" t="s">
        <v>1270</v>
      </c>
      <c r="H609" s="22" t="s">
        <v>17</v>
      </c>
    </row>
    <row r="610" spans="2:8" ht="43.2" x14ac:dyDescent="0.3">
      <c r="B610" s="18" t="str">
        <f>IFERROR(_xlfn.XLOOKUP(D610,'Historias de Usuario'!C:C,'Historias de Usuario'!B:B, "Selecciona una historia"), "")</f>
        <v>Gestión de Taller de Mantención</v>
      </c>
      <c r="C610" s="10" t="str">
        <f>IFERROR(_xlfn.XLOOKUP(D610,'Historias de Usuario'!C:C,'Historias de Usuario'!D:D, "Selecciona una historia"), "")</f>
        <v>Como Admin Taller o Mecánico quiero ver el listado de órdenes de mantención del taller para gestionar las mantenciones activas y completadas</v>
      </c>
      <c r="D610" s="9" t="s">
        <v>1303</v>
      </c>
      <c r="E610" s="48" t="s">
        <v>1324</v>
      </c>
      <c r="F610" s="10" t="s">
        <v>1356</v>
      </c>
      <c r="G610" s="21" t="s">
        <v>1270</v>
      </c>
      <c r="H610" s="22" t="s">
        <v>17</v>
      </c>
    </row>
    <row r="611" spans="2:8" ht="43.2" x14ac:dyDescent="0.3">
      <c r="B611" s="18" t="str">
        <f>IFERROR(_xlfn.XLOOKUP(D611,'Historias de Usuario'!C:C,'Historias de Usuario'!B:B, "Selecciona una historia"), "")</f>
        <v>Gestión de Taller de Mantención</v>
      </c>
      <c r="C611" s="10" t="str">
        <f>IFERROR(_xlfn.XLOOKUP(D611,'Historias de Usuario'!C:C,'Historias de Usuario'!D:D, "Selecciona una historia"), "")</f>
        <v>Como Admin Taller o Mecánico quiero ver el listado de órdenes de mantención del taller para gestionar las mantenciones activas y completadas</v>
      </c>
      <c r="D611" s="9" t="s">
        <v>1303</v>
      </c>
      <c r="E611" s="48" t="s">
        <v>1325</v>
      </c>
      <c r="F611" s="10" t="s">
        <v>1355</v>
      </c>
      <c r="G611" s="21" t="s">
        <v>1270</v>
      </c>
      <c r="H611" s="22" t="s">
        <v>17</v>
      </c>
    </row>
    <row r="612" spans="2:8" ht="43.2" x14ac:dyDescent="0.3">
      <c r="B612" s="18" t="str">
        <f>IFERROR(_xlfn.XLOOKUP(D612,'Historias de Usuario'!C:C,'Historias de Usuario'!B:B, "Selecciona una historia"), "")</f>
        <v>Gestión de Taller de Mantención</v>
      </c>
      <c r="C612" s="10" t="str">
        <f>IFERROR(_xlfn.XLOOKUP(D612,'Historias de Usuario'!C:C,'Historias de Usuario'!D:D, "Selecciona una historia"), "")</f>
        <v>Como Admin Taller o Mecánico quiero ver el listado de órdenes de mantención del taller para gestionar las mantenciones activas y completadas</v>
      </c>
      <c r="D612" s="9" t="s">
        <v>1303</v>
      </c>
      <c r="E612" s="48" t="s">
        <v>1326</v>
      </c>
      <c r="F612" s="10" t="s">
        <v>1354</v>
      </c>
      <c r="G612" s="21" t="s">
        <v>1270</v>
      </c>
      <c r="H612" s="22" t="s">
        <v>17</v>
      </c>
    </row>
    <row r="613" spans="2:8" ht="43.2" x14ac:dyDescent="0.3">
      <c r="B613" s="18" t="str">
        <f>IFERROR(_xlfn.XLOOKUP(D613,'Historias de Usuario'!C:C,'Historias de Usuario'!B:B, "Selecciona una historia"), "")</f>
        <v>Gestión de Taller de Mantención</v>
      </c>
      <c r="C613" s="10" t="str">
        <f>IFERROR(_xlfn.XLOOKUP(D613,'Historias de Usuario'!C:C,'Historias de Usuario'!D:D, "Selecciona una historia"), "")</f>
        <v>Como Admin Taller o Mecánico quiero ver el listado de órdenes de mantención del taller para gestionar las mantenciones activas y completadas</v>
      </c>
      <c r="D613" s="9" t="s">
        <v>1303</v>
      </c>
      <c r="E613" s="48" t="s">
        <v>1327</v>
      </c>
      <c r="F613" s="10" t="s">
        <v>1353</v>
      </c>
      <c r="G613" s="21" t="s">
        <v>1270</v>
      </c>
      <c r="H613" s="22" t="s">
        <v>17</v>
      </c>
    </row>
    <row r="614" spans="2:8" ht="43.2" x14ac:dyDescent="0.3">
      <c r="B614" s="18" t="str">
        <f>IFERROR(_xlfn.XLOOKUP(D614,'Historias de Usuario'!C:C,'Historias de Usuario'!B:B, "Selecciona una historia"), "")</f>
        <v>Gestión de Taller de Mantención</v>
      </c>
      <c r="C614" s="10" t="str">
        <f>IFERROR(_xlfn.XLOOKUP(D614,'Historias de Usuario'!C:C,'Historias de Usuario'!D:D, "Selecciona una historia"), "")</f>
        <v>Como Admin Taller o Mecánico quiero ver el listado de órdenes de mantención del taller para gestionar las mantenciones activas y completadas</v>
      </c>
      <c r="D614" s="9" t="s">
        <v>1303</v>
      </c>
      <c r="E614" s="48" t="s">
        <v>1328</v>
      </c>
      <c r="F614" s="10" t="s">
        <v>1352</v>
      </c>
      <c r="G614" s="21" t="s">
        <v>1270</v>
      </c>
      <c r="H614" s="22" t="s">
        <v>17</v>
      </c>
    </row>
    <row r="615" spans="2:8" ht="43.2" x14ac:dyDescent="0.3">
      <c r="B615" s="18" t="str">
        <f>IFERROR(_xlfn.XLOOKUP(D615,'Historias de Usuario'!C:C,'Historias de Usuario'!B:B, "Selecciona una historia"), "")</f>
        <v>Gestión de Taller de Mantención</v>
      </c>
      <c r="C615" s="10" t="str">
        <f>IFERROR(_xlfn.XLOOKUP(D615,'Historias de Usuario'!C:C,'Historias de Usuario'!D:D, "Selecciona una historia"), "")</f>
        <v>Como Admin Taller o Mecánico quiero ver el listado de órdenes de mantención del taller para gestionar las mantenciones activas y completadas</v>
      </c>
      <c r="D615" s="9" t="s">
        <v>1303</v>
      </c>
      <c r="E615" s="48" t="s">
        <v>1329</v>
      </c>
      <c r="F615" s="10" t="s">
        <v>1351</v>
      </c>
      <c r="G615" s="21" t="s">
        <v>1270</v>
      </c>
      <c r="H615" s="22" t="s">
        <v>17</v>
      </c>
    </row>
    <row r="616" spans="2:8" ht="43.2" x14ac:dyDescent="0.3">
      <c r="B616" s="18" t="str">
        <f>IFERROR(_xlfn.XLOOKUP(D616,'Historias de Usuario'!C:C,'Historias de Usuario'!B:B, "Selecciona una historia"), "")</f>
        <v>Gestión de Taller de Mantención</v>
      </c>
      <c r="C616" s="10" t="str">
        <f>IFERROR(_xlfn.XLOOKUP(D616,'Historias de Usuario'!C:C,'Historias de Usuario'!D:D, "Selecciona una historia"), "")</f>
        <v>Como Admin Taller o Mecánico quiero ver un resumen del inventario del taller para conocer el estado general del inventario</v>
      </c>
      <c r="D616" s="9" t="s">
        <v>1331</v>
      </c>
      <c r="E616" s="48" t="s">
        <v>1330</v>
      </c>
      <c r="F616" s="5" t="s">
        <v>1350</v>
      </c>
      <c r="G616" s="21" t="s">
        <v>1270</v>
      </c>
      <c r="H616" s="22" t="s">
        <v>17</v>
      </c>
    </row>
    <row r="617" spans="2:8" ht="43.2" x14ac:dyDescent="0.3">
      <c r="B617" s="18" t="str">
        <f>IFERROR(_xlfn.XLOOKUP(D617,'Historias de Usuario'!C:C,'Historias de Usuario'!B:B, "Selecciona una historia"), "")</f>
        <v>Gestión de Taller de Mantención</v>
      </c>
      <c r="C617" s="10" t="str">
        <f>IFERROR(_xlfn.XLOOKUP(D617,'Historias de Usuario'!C:C,'Historias de Usuario'!D:D, "Selecciona una historia"), "")</f>
        <v>Como Admin Taller o Mecánico quiero ver un resumen del inventario del taller para conocer el estado general del inventario</v>
      </c>
      <c r="D617" s="9" t="s">
        <v>1331</v>
      </c>
      <c r="E617" s="48" t="s">
        <v>1333</v>
      </c>
      <c r="F617" s="5" t="s">
        <v>1350</v>
      </c>
      <c r="G617" s="21" t="s">
        <v>1270</v>
      </c>
      <c r="H617" s="22" t="s">
        <v>17</v>
      </c>
    </row>
    <row r="618" spans="2:8" ht="43.2" x14ac:dyDescent="0.3">
      <c r="B618" s="18" t="str">
        <f>IFERROR(_xlfn.XLOOKUP(D618,'Historias de Usuario'!C:C,'Historias de Usuario'!B:B, "Selecciona una historia"), "")</f>
        <v>Gestión de Taller de Mantención</v>
      </c>
      <c r="C618" s="10" t="str">
        <f>IFERROR(_xlfn.XLOOKUP(D618,'Historias de Usuario'!C:C,'Historias de Usuario'!D:D, "Selecciona una historia"), "")</f>
        <v>Como Admin Taller o Mecánico quiero ver un resumen del inventario del taller para conocer el estado general del inventario</v>
      </c>
      <c r="D618" s="9" t="s">
        <v>1331</v>
      </c>
      <c r="E618" s="48" t="s">
        <v>1334</v>
      </c>
      <c r="F618" s="5" t="s">
        <v>1349</v>
      </c>
      <c r="G618" s="21" t="s">
        <v>1270</v>
      </c>
      <c r="H618" s="22" t="s">
        <v>17</v>
      </c>
    </row>
    <row r="619" spans="2:8" ht="43.2" x14ac:dyDescent="0.3">
      <c r="B619" s="18" t="str">
        <f>IFERROR(_xlfn.XLOOKUP(D619,'Historias de Usuario'!C:C,'Historias de Usuario'!B:B, "Selecciona una historia"), "")</f>
        <v>Gestión de Taller de Mantención</v>
      </c>
      <c r="C619" s="10" t="str">
        <f>IFERROR(_xlfn.XLOOKUP(D619,'Historias de Usuario'!C:C,'Historias de Usuario'!D:D, "Selecciona una historia"), "")</f>
        <v>Como Admin Taller o Mecánico quiero ver un resumen del inventario del taller para conocer el estado general del inventario</v>
      </c>
      <c r="D619" s="9" t="s">
        <v>1331</v>
      </c>
      <c r="E619" s="48" t="s">
        <v>1335</v>
      </c>
      <c r="F619" s="5" t="s">
        <v>1348</v>
      </c>
      <c r="G619" s="21" t="s">
        <v>1270</v>
      </c>
      <c r="H619" s="22" t="s">
        <v>17</v>
      </c>
    </row>
    <row r="620" spans="2:8" ht="43.2" x14ac:dyDescent="0.3">
      <c r="B620" s="18" t="str">
        <f>IFERROR(_xlfn.XLOOKUP(D620,'Historias de Usuario'!C:C,'Historias de Usuario'!B:B, "Selecciona una historia"), "")</f>
        <v>Gestión de Taller de Mantención</v>
      </c>
      <c r="C620" s="10" t="str">
        <f>IFERROR(_xlfn.XLOOKUP(D620,'Historias de Usuario'!C:C,'Historias de Usuario'!D:D, "Selecciona una historia"), "")</f>
        <v>Como Admin Taller o Mecánico quiero ver un resumen del inventario del taller para conocer el estado general del inventario</v>
      </c>
      <c r="D620" s="9" t="s">
        <v>1331</v>
      </c>
      <c r="E620" s="48" t="s">
        <v>1336</v>
      </c>
      <c r="F620" s="5" t="s">
        <v>1347</v>
      </c>
      <c r="G620" s="21" t="s">
        <v>1270</v>
      </c>
      <c r="H620" s="22" t="s">
        <v>17</v>
      </c>
    </row>
    <row r="621" spans="2:8" ht="43.2" x14ac:dyDescent="0.3">
      <c r="B621" s="18" t="str">
        <f>IFERROR(_xlfn.XLOOKUP(D621,'Historias de Usuario'!C:C,'Historias de Usuario'!B:B, "Selecciona una historia"), "")</f>
        <v>Gestión de Taller de Mantención</v>
      </c>
      <c r="C621" s="10" t="str">
        <f>IFERROR(_xlfn.XLOOKUP(D621,'Historias de Usuario'!C:C,'Historias de Usuario'!D:D, "Selecciona una historia"), "")</f>
        <v>Como Admin Taller o Mecánico quiero ver un resumen del inventario del taller para conocer el estado general del inventario</v>
      </c>
      <c r="D621" s="9" t="s">
        <v>1331</v>
      </c>
      <c r="E621" s="48" t="s">
        <v>1337</v>
      </c>
      <c r="F621" s="5" t="s">
        <v>1346</v>
      </c>
      <c r="G621" s="21" t="s">
        <v>1270</v>
      </c>
      <c r="H621" s="22" t="s">
        <v>17</v>
      </c>
    </row>
    <row r="622" spans="2:8" ht="43.2" x14ac:dyDescent="0.3">
      <c r="B622" s="18" t="str">
        <f>IFERROR(_xlfn.XLOOKUP(D622,'Historias de Usuario'!C:C,'Historias de Usuario'!B:B, "Selecciona una historia"), "")</f>
        <v>Gestión de Taller de Mantención</v>
      </c>
      <c r="C622" s="10" t="str">
        <f>IFERROR(_xlfn.XLOOKUP(D622,'Historias de Usuario'!C:C,'Historias de Usuario'!D:D, "Selecciona una historia"), "")</f>
        <v>Como Admin Taller o Mecánico quiero ver un resumen del inventario del taller para conocer el estado general del inventario</v>
      </c>
      <c r="D622" s="9" t="s">
        <v>1331</v>
      </c>
      <c r="E622" s="48" t="s">
        <v>1338</v>
      </c>
      <c r="F622" s="5" t="s">
        <v>1345</v>
      </c>
      <c r="G622" s="21" t="s">
        <v>1270</v>
      </c>
      <c r="H622" s="22" t="s">
        <v>17</v>
      </c>
    </row>
    <row r="623" spans="2:8" ht="43.2" x14ac:dyDescent="0.3">
      <c r="B623" s="18" t="str">
        <f>IFERROR(_xlfn.XLOOKUP(D623,'Historias de Usuario'!C:C,'Historias de Usuario'!B:B, "Selecciona una historia"), "")</f>
        <v>Gestión de Taller de Mantención</v>
      </c>
      <c r="C623" s="10" t="str">
        <f>IFERROR(_xlfn.XLOOKUP(D623,'Historias de Usuario'!C:C,'Historias de Usuario'!D:D, "Selecciona una historia"), "")</f>
        <v>Como Admin Taller o Mecánico quiero ver un resumen del inventario del taller para conocer el estado general del inventario</v>
      </c>
      <c r="D623" s="9" t="s">
        <v>1331</v>
      </c>
      <c r="E623" s="48" t="s">
        <v>1339</v>
      </c>
      <c r="F623" s="5" t="s">
        <v>1344</v>
      </c>
      <c r="G623" s="21" t="s">
        <v>1270</v>
      </c>
      <c r="H623" s="22" t="s">
        <v>17</v>
      </c>
    </row>
    <row r="624" spans="2:8" ht="43.2" x14ac:dyDescent="0.3">
      <c r="B624" s="18" t="str">
        <f>IFERROR(_xlfn.XLOOKUP(D624,'Historias de Usuario'!C:C,'Historias de Usuario'!B:B, "Selecciona una historia"), "")</f>
        <v>Gestión de Taller de Mantención</v>
      </c>
      <c r="C624" s="10" t="str">
        <f>IFERROR(_xlfn.XLOOKUP(D624,'Historias de Usuario'!C:C,'Historias de Usuario'!D:D, "Selecciona una historia"), "")</f>
        <v>Como Admin Taller o Mecánico quiero ver un resumen del inventario del taller para conocer el estado general del inventario</v>
      </c>
      <c r="D624" s="9" t="s">
        <v>1331</v>
      </c>
      <c r="E624" s="48" t="s">
        <v>1340</v>
      </c>
      <c r="F624" s="5" t="s">
        <v>1343</v>
      </c>
      <c r="G624" s="21" t="s">
        <v>1270</v>
      </c>
      <c r="H624" s="22" t="s">
        <v>17</v>
      </c>
    </row>
    <row r="625" spans="2:8" ht="43.2" x14ac:dyDescent="0.3">
      <c r="B625" s="18" t="str">
        <f>IFERROR(_xlfn.XLOOKUP(D625,'Historias de Usuario'!C:C,'Historias de Usuario'!B:B, "Selecciona una historia"), "")</f>
        <v>Gestión de Taller de Mantención</v>
      </c>
      <c r="C625" s="10" t="str">
        <f>IFERROR(_xlfn.XLOOKUP(D625,'Historias de Usuario'!C:C,'Historias de Usuario'!D:D, "Selecciona una historia"), "")</f>
        <v>Como Admin Taller o Mecánico quiero ver un resumen del inventario del taller para conocer el estado general del inventario</v>
      </c>
      <c r="D625" s="9" t="s">
        <v>1331</v>
      </c>
      <c r="E625" s="48" t="s">
        <v>1341</v>
      </c>
      <c r="F625" s="5" t="s">
        <v>1342</v>
      </c>
      <c r="G625" s="21" t="s">
        <v>1270</v>
      </c>
      <c r="H625" s="22" t="s">
        <v>17</v>
      </c>
    </row>
    <row r="626" spans="2:8" x14ac:dyDescent="0.3">
      <c r="F626" s="47"/>
    </row>
    <row r="627" spans="2:8" x14ac:dyDescent="0.3">
      <c r="F627" s="47"/>
    </row>
    <row r="628" spans="2:8" x14ac:dyDescent="0.3">
      <c r="F628" s="47"/>
    </row>
    <row r="629" spans="2:8" x14ac:dyDescent="0.3">
      <c r="F629" s="49"/>
    </row>
  </sheetData>
  <phoneticPr fontId="3" type="noConversion"/>
  <conditionalFormatting sqref="B5:B625">
    <cfRule type="cellIs" dxfId="21" priority="17" operator="equal">
      <formula>"No Aplica"</formula>
    </cfRule>
  </conditionalFormatting>
  <conditionalFormatting sqref="E24:F24 F42:F43 F75 E189:F189 F276 F404 F455 E5:E625">
    <cfRule type="containsText" dxfId="20" priority="12" operator="containsText" text="APP">
      <formula>NOT(ISERROR(SEARCH("APP",E5)))</formula>
    </cfRule>
    <cfRule type="containsText" dxfId="19" priority="13" operator="containsText" text="WEB">
      <formula>NOT(ISERROR(SEARCH("WEB",E5)))</formula>
    </cfRule>
    <cfRule type="containsText" dxfId="18" priority="14" operator="containsText" text="AUTH">
      <formula>NOT(ISERROR(SEARCH("AUTH",E5)))</formula>
    </cfRule>
    <cfRule type="containsText" dxfId="17" priority="15" operator="containsText" text="CONF">
      <formula>NOT(ISERROR(SEARCH("CONF",E5)))</formula>
    </cfRule>
  </conditionalFormatting>
  <conditionalFormatting sqref="F34">
    <cfRule type="containsText" dxfId="16" priority="6" operator="containsText" text="APP">
      <formula>NOT(ISERROR(SEARCH("APP",F34)))</formula>
    </cfRule>
    <cfRule type="containsText" dxfId="15" priority="7" operator="containsText" text="WEB">
      <formula>NOT(ISERROR(SEARCH("WEB",F34)))</formula>
    </cfRule>
    <cfRule type="containsText" dxfId="14" priority="8" operator="containsText" text="AUTH">
      <formula>NOT(ISERROR(SEARCH("AUTH",F34)))</formula>
    </cfRule>
    <cfRule type="containsText" dxfId="13" priority="9" operator="containsText" text="CONF">
      <formula>NOT(ISERROR(SEARCH("CONF",F34)))</formula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4" operator="equal" id="{1B94835C-5299-4BAE-9AC0-D2871E390886}">
            <xm:f>Epicas!$C$8</xm:f>
            <x14:dxf>
              <fill>
                <patternFill>
                  <bgColor theme="5" tint="-0.24994659260841701"/>
                </patternFill>
              </fill>
            </x14:dxf>
          </x14:cfRule>
          <x14:cfRule type="cellIs" priority="5" operator="equal" id="{0C245326-DC0C-4960-9BBE-498FEA64B55E}">
            <xm:f>Epicas!$C$7</xm:f>
            <x14:dxf>
              <fill>
                <patternFill>
                  <bgColor theme="4" tint="-0.24994659260841701"/>
                </patternFill>
              </fill>
            </x14:dxf>
          </x14:cfRule>
          <xm:sqref>B1:B1048576</xm:sqref>
        </x14:conditionalFormatting>
        <x14:conditionalFormatting xmlns:xm="http://schemas.microsoft.com/office/excel/2006/main">
          <x14:cfRule type="cellIs" priority="10" operator="equal" id="{6ADD9D69-B8FD-47D0-ADB8-B6A7F67F2879}">
            <xm:f>Epicas!$C$6</xm:f>
            <x14:dxf>
              <font>
                <color auto="1"/>
              </font>
              <fill>
                <patternFill>
                  <bgColor rgb="FF00B050"/>
                </patternFill>
              </fill>
            </x14:dxf>
          </x14:cfRule>
          <x14:cfRule type="cellIs" priority="16" operator="equal" id="{80F80263-2383-4519-9AC9-3B9463C1A127}">
            <xm:f>Epicas!$C$5</xm:f>
            <x14:dxf>
              <fill>
                <patternFill>
                  <bgColor theme="8" tint="0.39994506668294322"/>
                </patternFill>
              </fill>
            </x14:dxf>
          </x14:cfRule>
          <xm:sqref>B5:B625</xm:sqref>
        </x14:conditionalFormatting>
        <x14:conditionalFormatting xmlns:xm="http://schemas.microsoft.com/office/excel/2006/main">
          <x14:cfRule type="cellIs" priority="3" operator="equal" id="{9DA31759-E142-45C3-8ADD-1CBF7A16C622}">
            <xm:f>Configuración!$F$8</xm:f>
            <x14:dxf>
              <fill>
                <patternFill>
                  <bgColor rgb="FFFFC7CE"/>
                </patternFill>
              </fill>
            </x14:dxf>
          </x14:cfRule>
          <x14:cfRule type="cellIs" priority="18" operator="equal" id="{981B7754-2C7B-4EA9-BE69-D46503F50AC5}">
            <xm:f>Configuración!$F$7</xm:f>
            <x14:dxf>
              <fill>
                <patternFill>
                  <bgColor theme="2" tint="-9.9948118533890809E-2"/>
                </patternFill>
              </fill>
              <border>
                <left style="thin">
                  <color auto="1"/>
                </left>
                <right style="thin">
                  <color auto="1"/>
                </right>
                <top style="thin">
                  <color auto="1"/>
                </top>
                <bottom style="thin">
                  <color auto="1"/>
                </bottom>
                <vertical/>
                <horizontal/>
              </border>
            </x14:dxf>
          </x14:cfRule>
          <x14:cfRule type="cellIs" priority="19" operator="equal" id="{1E275B93-CE71-4DD2-A358-BCA12E496047}">
            <xm:f>Configuración!$F$6</xm:f>
            <x14:dxf>
              <font>
                <color rgb="FF9C5700"/>
              </font>
              <fill>
                <patternFill>
                  <bgColor rgb="FFFFEB9C"/>
                </patternFill>
              </fill>
            </x14:dxf>
          </x14:cfRule>
          <x14:cfRule type="cellIs" priority="20" operator="equal" id="{4B01D5E4-F7F6-4504-86AD-380BE107FBB4}">
            <xm:f>Configuración!$F$5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H5:H625</xm:sqref>
        </x14:conditionalFormatting>
        <x14:conditionalFormatting xmlns:xm="http://schemas.microsoft.com/office/excel/2006/main">
          <x14:cfRule type="cellIs" priority="1" operator="equal" id="{BAD0B5D2-0202-4081-A278-69F8ACD89A5A}">
            <xm:f>Epicas!$C$8</xm:f>
            <x14:dxf>
              <fill>
                <patternFill>
                  <bgColor theme="5" tint="-0.24994659260841701"/>
                </patternFill>
              </fill>
            </x14:dxf>
          </x14:cfRule>
          <x14:cfRule type="cellIs" priority="2" operator="equal" id="{B103302B-6C69-4982-8E36-47FD125212DA}">
            <xm:f>Epicas!$C$7</xm:f>
            <x14:dxf>
              <fill>
                <patternFill>
                  <bgColor theme="4" tint="-0.24994659260841701"/>
                </patternFill>
              </fill>
            </x14:dxf>
          </x14:cfRule>
          <xm:sqref>C626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70CFC1F4-463D-4119-898B-953A947B214F}">
          <x14:formula1>
            <xm:f>Epicas!$C$5:$C$8</xm:f>
          </x14:formula1>
          <xm:sqref>B5:B625</xm:sqref>
        </x14:dataValidation>
        <x14:dataValidation type="list" allowBlank="1" showInputMessage="1" showErrorMessage="1" xr:uid="{5A775845-609D-412C-8737-D1ADCF0CF12E}">
          <x14:formula1>
            <xm:f>Configuración!$F$5:$F$8</xm:f>
          </x14:formula1>
          <xm:sqref>H5:H625</xm:sqref>
        </x14:dataValidation>
        <x14:dataValidation type="list" allowBlank="1" showInputMessage="1" showErrorMessage="1" xr:uid="{76B2E369-18F1-451C-AAD0-17CF010CE69B}">
          <x14:formula1>
            <xm:f>'Historias de Usuario'!$C$5:$C$81</xm:f>
          </x14:formula1>
          <xm:sqref>D1:D1048576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FF6246-9A31-4896-99F9-B0E5C26667C6}">
  <sheetPr>
    <tabColor rgb="FF002060"/>
  </sheetPr>
  <dimension ref="B1:G140"/>
  <sheetViews>
    <sheetView workbookViewId="0">
      <selection activeCell="C13" sqref="C13"/>
    </sheetView>
  </sheetViews>
  <sheetFormatPr baseColWidth="10" defaultRowHeight="14.4" x14ac:dyDescent="0.3"/>
  <cols>
    <col min="1" max="1" width="8.6640625" customWidth="1"/>
    <col min="2" max="2" width="25.109375" style="14" customWidth="1"/>
    <col min="3" max="3" width="49.88671875" style="14" customWidth="1"/>
    <col min="4" max="4" width="15.109375" style="14" customWidth="1"/>
    <col min="5" max="5" width="13.21875" style="14" customWidth="1"/>
    <col min="6" max="6" width="44.21875" style="14" customWidth="1"/>
    <col min="7" max="7" width="11.5546875" style="14"/>
  </cols>
  <sheetData>
    <row r="1" spans="2:7" x14ac:dyDescent="0.3">
      <c r="B1"/>
      <c r="C1" s="25"/>
      <c r="D1"/>
      <c r="E1"/>
      <c r="F1"/>
      <c r="G1"/>
    </row>
    <row r="2" spans="2:7" x14ac:dyDescent="0.3">
      <c r="B2"/>
      <c r="C2" s="46" t="s">
        <v>1267</v>
      </c>
      <c r="D2"/>
      <c r="E2"/>
      <c r="F2"/>
      <c r="G2"/>
    </row>
    <row r="3" spans="2:7" x14ac:dyDescent="0.3">
      <c r="B3" s="27" t="s">
        <v>1186</v>
      </c>
      <c r="C3" s="28" t="s">
        <v>1270</v>
      </c>
      <c r="D3"/>
      <c r="E3"/>
      <c r="F3"/>
      <c r="G3"/>
    </row>
    <row r="4" spans="2:7" x14ac:dyDescent="0.3">
      <c r="B4"/>
      <c r="C4" s="25"/>
      <c r="D4"/>
      <c r="E4"/>
      <c r="F4"/>
      <c r="G4"/>
    </row>
    <row r="5" spans="2:7" x14ac:dyDescent="0.3">
      <c r="B5" s="26" t="s">
        <v>1187</v>
      </c>
      <c r="C5" s="29" t="s">
        <v>1188</v>
      </c>
      <c r="D5" s="26" t="s">
        <v>11</v>
      </c>
      <c r="E5" s="26" t="s">
        <v>29</v>
      </c>
      <c r="F5" s="26" t="s">
        <v>0</v>
      </c>
      <c r="G5" s="26" t="s">
        <v>6</v>
      </c>
    </row>
    <row r="6" spans="2:7" ht="43.2" x14ac:dyDescent="0.3">
      <c r="B6" s="30" t="str" cm="1">
        <f t="array" ref="B6:G47">_xlfn._xlws.FILTER(_xlfn.CHOOSECOLS(T_Tarea[], 1, 2, 3, 4, 5, 7), T_Tarea[Sprint] = C3)</f>
        <v>Gestión de Cuartel de Bomberos</v>
      </c>
      <c r="C6" s="14" t="str">
        <v>Como Jefe de Cuartel quiero ver un dashboard con estadísticas y resumen de mis vehículos para tener una visión general del estado operativo del cuartel</v>
      </c>
      <c r="D6" s="14" t="str">
        <v>HU 5.1</v>
      </c>
      <c r="E6" s="14" t="str">
        <v>APP_010</v>
      </c>
      <c r="F6" s="14" t="str">
        <v xml:space="preserve">Crear pantalla principal del dashboard </v>
      </c>
      <c r="G6" s="14" t="str">
        <v>Finalizada</v>
      </c>
    </row>
    <row r="7" spans="2:7" ht="43.2" x14ac:dyDescent="0.3">
      <c r="B7" s="31" t="str">
        <v>Gestión de Cuartel de Bomberos</v>
      </c>
      <c r="C7" s="14" t="str">
        <v>Como Jefe de Cuartel quiero ver un dashboard con estadísticas y resumen de mis vehículos para tener una visión general del estado operativo del cuartel</v>
      </c>
      <c r="D7" s="14" t="str">
        <v>HU 5.1</v>
      </c>
      <c r="E7" s="14" t="str">
        <v>APP_011</v>
      </c>
      <c r="F7" s="14" t="str">
        <v>Implementar tarjetas de estadísticas del  dashboard</v>
      </c>
      <c r="G7" s="14" t="str">
        <v>Finalizada</v>
      </c>
    </row>
    <row r="8" spans="2:7" ht="43.2" x14ac:dyDescent="0.3">
      <c r="B8" s="31" t="str">
        <v>Gestión de Cuartel de Bomberos</v>
      </c>
      <c r="C8" s="14" t="str">
        <v>Como Jefe de Cuartel quiero ver un dashboard con estadísticas y resumen de mis vehículos para tener una visión general del estado operativo del cuartel</v>
      </c>
      <c r="D8" s="14" t="str">
        <v>HU 5.1</v>
      </c>
      <c r="E8" s="14" t="str">
        <v>APP_012</v>
      </c>
      <c r="F8" s="14" t="str">
        <v>Implementar sistema de alertas en dashboard</v>
      </c>
      <c r="G8" s="14" t="str">
        <v>Finalizada</v>
      </c>
    </row>
    <row r="9" spans="2:7" ht="43.2" x14ac:dyDescent="0.3">
      <c r="B9" s="31" t="str">
        <v>Gestión de Cuartel de Bomberos</v>
      </c>
      <c r="C9" s="14" t="str">
        <v>Como Jefe de Cuartel quiero ver un dashboard con estadísticas y resumen de mis vehículos para tener una visión general del estado operativo del cuartel</v>
      </c>
      <c r="D9" s="14" t="str">
        <v>HU 5.1</v>
      </c>
      <c r="E9" s="14" t="str">
        <v>APP_013</v>
      </c>
      <c r="F9" s="14" t="str">
        <v>Implementar búsqueda de vehículos en dashboard</v>
      </c>
      <c r="G9" s="14" t="str">
        <v>Finalizada</v>
      </c>
    </row>
    <row r="10" spans="2:7" ht="43.2" x14ac:dyDescent="0.3">
      <c r="B10" s="31" t="str">
        <v>Gestión de Cuartel de Bomberos</v>
      </c>
      <c r="C10" s="14" t="str">
        <v>Como Jefe de Cuartel quiero ver un dashboard con estadísticas y resumen de mis vehículos para tener una visión general del estado operativo del cuartel</v>
      </c>
      <c r="D10" s="14" t="str">
        <v>HU 5.1</v>
      </c>
      <c r="E10" s="14" t="str">
        <v>APP_014</v>
      </c>
      <c r="F10" s="14" t="str">
        <v xml:space="preserve">Implementar filtros por estado en dashboard </v>
      </c>
      <c r="G10" s="14" t="str">
        <v>Finalizada</v>
      </c>
    </row>
    <row r="11" spans="2:7" ht="43.2" x14ac:dyDescent="0.3">
      <c r="B11" s="31" t="str">
        <v>Gestión de Cuartel de Bomberos</v>
      </c>
      <c r="C11" s="14" t="str">
        <v>Como Jefe de Cuartel quiero ver un dashboard con estadísticas y resumen de mis vehículos para tener una visión general del estado operativo del cuartel</v>
      </c>
      <c r="D11" s="14" t="str">
        <v>HU 5.1</v>
      </c>
      <c r="E11" s="14" t="str">
        <v>APP_015</v>
      </c>
      <c r="F11" s="14" t="str">
        <v xml:space="preserve">Implementar lista de vehículos en dashboard </v>
      </c>
      <c r="G11" s="14" t="str">
        <v>Finalizada</v>
      </c>
    </row>
    <row r="12" spans="2:7" ht="43.2" x14ac:dyDescent="0.3">
      <c r="B12" s="31" t="str">
        <v>Gestión de Cuartel de Bomberos</v>
      </c>
      <c r="C12" s="14" t="str">
        <v xml:space="preserve"> Como Jefe de Cuartel quiero ver el listado completo de vehículos para tener una vista más detallada y navegar al historial de cada vehículo</v>
      </c>
      <c r="D12" s="14" t="str">
        <v>HU 5.2</v>
      </c>
      <c r="E12" s="14" t="str">
        <v>APP_016</v>
      </c>
      <c r="F12" s="14" t="str">
        <v>Crear pantalla de listado completo de vehículos</v>
      </c>
      <c r="G12" s="14" t="str">
        <v>Finalizada</v>
      </c>
    </row>
    <row r="13" spans="2:7" ht="43.2" x14ac:dyDescent="0.3">
      <c r="B13" s="31" t="str">
        <v>Gestión de Cuartel de Bomberos</v>
      </c>
      <c r="C13" s="14" t="str">
        <v xml:space="preserve"> Como Jefe de Cuartel quiero ver el listado completo de vehículos para tener una vista más detallada y navegar al historial de cada vehículo</v>
      </c>
      <c r="D13" s="14" t="str">
        <v>HU 5.2</v>
      </c>
      <c r="E13" s="14" t="str">
        <v>APP_017</v>
      </c>
      <c r="F13" s="14" t="str">
        <v>Implementar visualización de vehículos en Lista</v>
      </c>
      <c r="G13" s="14" t="str">
        <v>Finalizada</v>
      </c>
    </row>
    <row r="14" spans="2:7" ht="43.2" x14ac:dyDescent="0.3">
      <c r="B14" s="31" t="str">
        <v>Gestión de Cuartel de Bomberos</v>
      </c>
      <c r="C14" s="14" t="str">
        <v xml:space="preserve"> Como Jefe de Cuartel quiero ver el listado completo de vehículos para tener una vista más detallada y navegar al historial de cada vehículo</v>
      </c>
      <c r="D14" s="14" t="str">
        <v>HU 5.2</v>
      </c>
      <c r="E14" s="14" t="str">
        <v>APP_018</v>
      </c>
      <c r="F14" s="14" t="str">
        <v>Implementar búsqueda y filtros en lista de vehículos</v>
      </c>
      <c r="G14" s="14" t="str">
        <v>Finalizada</v>
      </c>
    </row>
    <row r="15" spans="2:7" ht="43.2" x14ac:dyDescent="0.3">
      <c r="B15" s="31" t="str">
        <v>Gestión de Cuartel de Bomberos</v>
      </c>
      <c r="C15" s="14" t="str">
        <v xml:space="preserve"> Como Jefe de Cuartel quiero ver el listado completo de vehículos para tener una vista más detallada y navegar al historial de cada vehículo</v>
      </c>
      <c r="D15" s="14" t="str">
        <v>HU 5.2</v>
      </c>
      <c r="E15" s="14" t="str">
        <v>APP_019</v>
      </c>
      <c r="F15" s="14" t="str">
        <v>Implementar visualización de cambios de estado</v>
      </c>
      <c r="G15" s="14" t="str">
        <v>Finalizada</v>
      </c>
    </row>
    <row r="16" spans="2:7" ht="43.2" x14ac:dyDescent="0.3">
      <c r="B16" s="31" t="str">
        <v>Gestión de Taller de Mantención</v>
      </c>
      <c r="C16" s="14" t="str">
        <v>Como Admin Taller o Mecánico quiero ver un dashboard con resumen del taller para tener una visión general del estado de las mantenciones</v>
      </c>
      <c r="D16" s="14" t="str">
        <v>HU 5.3</v>
      </c>
      <c r="E16" s="14" t="str">
        <v>APP_020</v>
      </c>
      <c r="F16" s="14" t="str">
        <v>Crear pantalla principal del dashboard de taller</v>
      </c>
      <c r="G16" s="14" t="str">
        <v>Finalizada</v>
      </c>
    </row>
    <row r="17" spans="2:7" ht="28.8" x14ac:dyDescent="0.3">
      <c r="B17" s="31" t="str">
        <v>Gestión de Taller de Mantención</v>
      </c>
      <c r="C17" s="14" t="str">
        <v>Como Admin Taller o Mecánico quiero ver un dashboard con resumen del taller para tener una visión general del estado de las mantenciones</v>
      </c>
      <c r="D17" s="14" t="str">
        <v>HU 5.3</v>
      </c>
      <c r="E17" s="14" t="str">
        <v>APP_021</v>
      </c>
      <c r="F17" s="14" t="str">
        <v>Implementar tarjetas principales de estadísticas</v>
      </c>
      <c r="G17" s="14" t="str">
        <v>Finalizada</v>
      </c>
    </row>
    <row r="18" spans="2:7" ht="28.8" x14ac:dyDescent="0.3">
      <c r="B18" s="31" t="str">
        <v>Gestión de Taller de Mantención</v>
      </c>
      <c r="C18" s="14" t="str">
        <v>Como Admin Taller o Mecánico quiero ver un dashboard con resumen del taller para tener una visión general del estado de las mantenciones</v>
      </c>
      <c r="D18" s="14" t="str">
        <v>HU 5.3</v>
      </c>
      <c r="E18" s="14" t="str">
        <v>APP_022</v>
      </c>
      <c r="F18" s="14" t="str">
        <v>Implementar acciones rápidas en dashboard</v>
      </c>
      <c r="G18" s="14" t="str">
        <v>Finalizada</v>
      </c>
    </row>
    <row r="19" spans="2:7" ht="28.8" x14ac:dyDescent="0.3">
      <c r="B19" s="14" t="str">
        <v>Gestión de Taller de Mantención</v>
      </c>
      <c r="C19" s="14" t="str">
        <v>Como Admin Taller o Mecánico quiero ver un dashboard con resumen del taller para tener una visión general del estado de las mantenciones</v>
      </c>
      <c r="D19" s="14" t="str">
        <v>HU 5.3</v>
      </c>
      <c r="E19" s="14" t="str">
        <v>APP_023</v>
      </c>
      <c r="F19" s="14" t="str">
        <v>Crear pantalla principal de mantenciones</v>
      </c>
      <c r="G19" s="14" t="str">
        <v>Finalizada</v>
      </c>
    </row>
    <row r="20" spans="2:7" ht="28.8" x14ac:dyDescent="0.3">
      <c r="B20" s="14" t="str">
        <v>Gestión de Taller de Mantención</v>
      </c>
      <c r="C20" s="14" t="str">
        <v>Como Admin Taller o Mecánico quiero ver un dashboard con resumen del taller para tener una visión general del estado de las mantenciones</v>
      </c>
      <c r="D20" s="14" t="str">
        <v>HU 5.3</v>
      </c>
      <c r="E20" s="14" t="str">
        <v>APP_024</v>
      </c>
      <c r="F20" s="14" t="str">
        <v>Implementar lista de órdenes de mantención</v>
      </c>
      <c r="G20" s="14" t="str">
        <v>Finalizada</v>
      </c>
    </row>
    <row r="21" spans="2:7" ht="28.8" x14ac:dyDescent="0.3">
      <c r="B21" s="14" t="str">
        <v>Gestión de Taller de Mantención</v>
      </c>
      <c r="C21" s="14" t="str">
        <v>Como Admin Taller o Mecánico quiero ver un dashboard con resumen del taller para tener una visión general del estado de las mantenciones</v>
      </c>
      <c r="D21" s="14" t="str">
        <v>HU 5.3</v>
      </c>
      <c r="E21" s="14" t="str">
        <v>APP_025</v>
      </c>
      <c r="F21" s="14" t="str">
        <v>Implementar toggle de órdenes completadas</v>
      </c>
      <c r="G21" s="14" t="str">
        <v>Finalizada</v>
      </c>
    </row>
    <row r="22" spans="2:7" ht="28.8" x14ac:dyDescent="0.3">
      <c r="B22" s="14" t="str">
        <v>Gestión de Taller de Mantención</v>
      </c>
      <c r="C22" s="14" t="str">
        <v>Como Admin Taller o Mecánico quiero ver un dashboard con resumen del taller para tener una visión general del estado de las mantenciones</v>
      </c>
      <c r="D22" s="14" t="str">
        <v>HU 5.3</v>
      </c>
      <c r="E22" s="14" t="str">
        <v>APP_026</v>
      </c>
      <c r="F22" s="14" t="str">
        <v>Implementar sistema de búsqueda en mantenciones</v>
      </c>
      <c r="G22" s="14" t="str">
        <v>Finalizada</v>
      </c>
    </row>
    <row r="23" spans="2:7" ht="43.2" x14ac:dyDescent="0.3">
      <c r="B23" s="14" t="str">
        <v>Gestión de Taller de Mantención</v>
      </c>
      <c r="C23" s="14" t="str">
        <v>Como Admin Taller o Mecánico quiero ver un dashboard con resumen del taller para tener una visión general del estado de las mantenciones</v>
      </c>
      <c r="D23" s="14" t="str">
        <v>HU 5.3</v>
      </c>
      <c r="E23" s="14" t="str">
        <v>APP_027</v>
      </c>
      <c r="F23" s="14" t="str">
        <v xml:space="preserve">Implementar filtros </v>
      </c>
      <c r="G23" s="14" t="str">
        <v>Finalizada</v>
      </c>
    </row>
    <row r="24" spans="2:7" ht="28.8" x14ac:dyDescent="0.3">
      <c r="B24" s="14" t="str">
        <v>Gestión de Taller de Mantención</v>
      </c>
      <c r="C24" s="14" t="str">
        <v>Como Admin Taller o Mecánico quiero ver un dashboard con resumen del taller para tener una visión general del estado de las mantenciones</v>
      </c>
      <c r="D24" s="14" t="str">
        <v>HU 5.3</v>
      </c>
      <c r="E24" s="14" t="str">
        <v>APP_028</v>
      </c>
      <c r="F24" s="14" t="str">
        <v>Implementar filtro por estado de orden</v>
      </c>
      <c r="G24" s="14" t="str">
        <v>Finalizada</v>
      </c>
    </row>
    <row r="25" spans="2:7" ht="28.8" x14ac:dyDescent="0.3">
      <c r="B25" s="14" t="str">
        <v>Gestión de Taller de Mantención</v>
      </c>
      <c r="C25" s="14" t="str">
        <v>Como Admin Taller o Mecánico quiero ver un dashboard con resumen del taller para tener una visión general del estado de las mantenciones</v>
      </c>
      <c r="D25" s="14" t="str">
        <v>HU 5.3</v>
      </c>
      <c r="E25" s="14" t="str">
        <v>APP_029</v>
      </c>
      <c r="F25" s="14" t="str">
        <v>Implementar filtro por tipo de mantención</v>
      </c>
      <c r="G25" s="14" t="str">
        <v>Finalizada</v>
      </c>
    </row>
    <row r="26" spans="2:7" ht="28.8" x14ac:dyDescent="0.3">
      <c r="B26" s="14" t="str">
        <v>Gestión de Taller de Mantención</v>
      </c>
      <c r="C26" s="14" t="str">
        <v>Como Admin Taller o Mecánico quiero ver un dashboard con resumen del taller para tener una visión general del estado de las mantenciones</v>
      </c>
      <c r="D26" s="14" t="str">
        <v>HU 5.3</v>
      </c>
      <c r="E26" s="14" t="str">
        <v>APP_030</v>
      </c>
      <c r="F26" s="14" t="str">
        <v>Implementar filtro por cuartel de origen</v>
      </c>
      <c r="G26" s="14" t="str">
        <v>Finalizada</v>
      </c>
    </row>
    <row r="27" spans="2:7" ht="28.8" x14ac:dyDescent="0.3">
      <c r="B27" s="14" t="str">
        <v>Gestión de Taller de Mantención</v>
      </c>
      <c r="C27" s="14" t="str">
        <v>Como Admin Taller o Mecánico quiero ver el listado de órdenes de mantención del taller para gestionar las mantenciones activas y completadas</v>
      </c>
      <c r="D27" s="14" t="str">
        <v>HU 5.4</v>
      </c>
      <c r="E27" s="14" t="str">
        <v>APP_031</v>
      </c>
      <c r="F27" s="14" t="str">
        <v>Crear pantalla de detalle de orden</v>
      </c>
      <c r="G27" s="14" t="str">
        <v>Finalizada</v>
      </c>
    </row>
    <row r="28" spans="2:7" ht="28.8" x14ac:dyDescent="0.3">
      <c r="B28" s="14" t="str">
        <v>Gestión de Taller de Mantención</v>
      </c>
      <c r="C28" s="14" t="str">
        <v>Como Admin Taller o Mecánico quiero ver el listado de órdenes de mantención del taller para gestionar las mantenciones activas y completadas</v>
      </c>
      <c r="D28" s="14" t="str">
        <v>HU 5.4</v>
      </c>
      <c r="E28" s="14" t="str">
        <v>APP_032</v>
      </c>
      <c r="F28" s="14" t="str">
        <v>Implementar información del vehículo en detalle</v>
      </c>
      <c r="G28" s="14" t="str">
        <v>Finalizada</v>
      </c>
    </row>
    <row r="29" spans="2:7" ht="28.8" x14ac:dyDescent="0.3">
      <c r="B29" s="14" t="str">
        <v>Gestión de Taller de Mantención</v>
      </c>
      <c r="C29" s="14" t="str">
        <v>Como Admin Taller o Mecánico quiero ver el listado de órdenes de mantención del taller para gestionar las mantenciones activas y completadas</v>
      </c>
      <c r="D29" s="14" t="str">
        <v>HU 5.4</v>
      </c>
      <c r="E29" s="14" t="str">
        <v>APP_033</v>
      </c>
      <c r="F29" s="14" t="str">
        <v>Implementar resumen de costos de la orden</v>
      </c>
      <c r="G29" s="14" t="str">
        <v>Finalizada</v>
      </c>
    </row>
    <row r="30" spans="2:7" ht="28.8" x14ac:dyDescent="0.3">
      <c r="B30" s="14" t="str">
        <v>Gestión de Taller de Mantención</v>
      </c>
      <c r="C30" s="14" t="str">
        <v>Como Admin Taller o Mecánico quiero ver el listado de órdenes de mantención del taller para gestionar las mantenciones activas y completadas</v>
      </c>
      <c r="D30" s="14" t="str">
        <v>HU 5.4</v>
      </c>
      <c r="E30" s="14" t="str">
        <v>APP_034</v>
      </c>
      <c r="F30" s="14" t="str">
        <v>Implementar edición de información de la orden</v>
      </c>
      <c r="G30" s="14" t="str">
        <v>Finalizada</v>
      </c>
    </row>
    <row r="31" spans="2:7" ht="28.8" x14ac:dyDescent="0.3">
      <c r="B31" s="14" t="str">
        <v>Gestión de Taller de Mantención</v>
      </c>
      <c r="C31" s="14" t="str">
        <v>Como Admin Taller o Mecánico quiero ver el listado de órdenes de mantención del taller para gestionar las mantenciones activas y completadas</v>
      </c>
      <c r="D31" s="14" t="str">
        <v>HU 5.4</v>
      </c>
      <c r="E31" s="14" t="str">
        <v>APP_035</v>
      </c>
      <c r="F31" s="14" t="str">
        <v>Implementar campo de observaciones</v>
      </c>
      <c r="G31" s="14" t="str">
        <v>Finalizada</v>
      </c>
    </row>
    <row r="32" spans="2:7" ht="28.8" x14ac:dyDescent="0.3">
      <c r="B32" s="14" t="str">
        <v>Gestión de Taller de Mantención</v>
      </c>
      <c r="C32" s="14" t="str">
        <v>Como Admin Taller o Mecánico quiero ver el listado de órdenes de mantención del taller para gestionar las mantenciones activas y completadas</v>
      </c>
      <c r="D32" s="14" t="str">
        <v>HU 5.4</v>
      </c>
      <c r="E32" s="14" t="str">
        <v>APP_036</v>
      </c>
      <c r="F32" s="14" t="str">
        <v>Implementar selector de fecha de salida</v>
      </c>
      <c r="G32" s="14" t="str">
        <v>Finalizada</v>
      </c>
    </row>
    <row r="33" spans="2:7" ht="28.8" x14ac:dyDescent="0.3">
      <c r="B33" s="14" t="str">
        <v>Gestión de Taller de Mantención</v>
      </c>
      <c r="C33" s="14" t="str">
        <v>Como Admin Taller o Mecánico quiero ver el listado de órdenes de mantención del taller para gestionar las mantenciones activas y completadas</v>
      </c>
      <c r="D33" s="14" t="str">
        <v>HU 5.4</v>
      </c>
      <c r="E33" s="14" t="str">
        <v>APP_037</v>
      </c>
      <c r="F33" s="14" t="str">
        <v>Implementar guardado de cambios en orden</v>
      </c>
      <c r="G33" s="14" t="str">
        <v>Finalizada</v>
      </c>
    </row>
    <row r="34" spans="2:7" ht="28.8" x14ac:dyDescent="0.3">
      <c r="B34" s="14" t="str">
        <v>Gestión de Taller de Mantención</v>
      </c>
      <c r="C34" s="14" t="str">
        <v>Como Admin Taller o Mecánico quiero ver el listado de órdenes de mantención del taller para gestionar las mantenciones activas y completadas</v>
      </c>
      <c r="D34" s="14" t="str">
        <v>HU 5.4</v>
      </c>
      <c r="E34" s="14" t="str">
        <v>APP_038</v>
      </c>
      <c r="F34" s="14" t="str">
        <v>Implementar gestión de tareas realizadas</v>
      </c>
      <c r="G34" s="14" t="str">
        <v>Finalizada</v>
      </c>
    </row>
    <row r="35" spans="2:7" ht="28.8" x14ac:dyDescent="0.3">
      <c r="B35" s="14" t="str">
        <v>Gestión de Taller de Mantención</v>
      </c>
      <c r="C35" s="14" t="str">
        <v>Como Admin Taller o Mecánico quiero ver el listado de órdenes de mantención del taller para gestionar las mantenciones activas y completadas</v>
      </c>
      <c r="D35" s="14" t="str">
        <v>HU 5.4</v>
      </c>
      <c r="E35" s="14" t="str">
        <v>APP_039</v>
      </c>
      <c r="F35" s="14" t="str">
        <v>Crear diálogo de agregar tarea</v>
      </c>
      <c r="G35" s="14" t="str">
        <v>Finalizada</v>
      </c>
    </row>
    <row r="36" spans="2:7" ht="28.8" x14ac:dyDescent="0.3">
      <c r="B36" s="14" t="str">
        <v>Gestión de Taller de Mantención</v>
      </c>
      <c r="C36" s="14" t="str">
        <v>Como Admin Taller o Mecánico quiero ver el listado de órdenes de mantención del taller para gestionar las mantenciones activas y completadas</v>
      </c>
      <c r="D36" s="14" t="str">
        <v>HU 5.4</v>
      </c>
      <c r="E36" s="14" t="str">
        <v>APP_040</v>
      </c>
      <c r="F36" s="14" t="str">
        <v>Implementar gestión de repuestos por tarea</v>
      </c>
      <c r="G36" s="14" t="str">
        <v>Finalizada</v>
      </c>
    </row>
    <row r="37" spans="2:7" ht="28.8" x14ac:dyDescent="0.3">
      <c r="B37" s="14" t="str">
        <v>Gestión de Taller de Mantención</v>
      </c>
      <c r="C37" s="14" t="str">
        <v>Como Admin Taller o Mecánico quiero ver el listado de órdenes de mantención del taller para gestionar las mantenciones activas y completadas</v>
      </c>
      <c r="D37" s="14" t="str">
        <v>HU 5.4</v>
      </c>
      <c r="E37" s="14" t="str">
        <v>APP_041</v>
      </c>
      <c r="F37" s="14" t="str">
        <v>Crear diálogo de agregar repuesto a tarea</v>
      </c>
      <c r="G37" s="14" t="str">
        <v>Finalizada</v>
      </c>
    </row>
    <row r="38" spans="2:7" ht="28.8" x14ac:dyDescent="0.3">
      <c r="B38" s="14" t="str">
        <v>Gestión de Taller de Mantención</v>
      </c>
      <c r="C38" s="14" t="str">
        <v>Como Admin Taller o Mecánico quiero ver un resumen del inventario del taller para conocer el estado general del inventario</v>
      </c>
      <c r="D38" s="14" t="str">
        <v>HU 5.5</v>
      </c>
      <c r="E38" s="14" t="str">
        <v>APP_042</v>
      </c>
      <c r="F38" s="14" t="str">
        <v>Crear pantalla principal de inventario</v>
      </c>
      <c r="G38" s="14" t="str">
        <v>Finalizada</v>
      </c>
    </row>
    <row r="39" spans="2:7" ht="28.8" x14ac:dyDescent="0.3">
      <c r="B39" s="14" t="str">
        <v>Gestión de Taller de Mantención</v>
      </c>
      <c r="C39" s="14" t="str">
        <v>Como Admin Taller o Mecánico quiero ver un resumen del inventario del taller para conocer el estado general del inventario</v>
      </c>
      <c r="D39" s="14" t="str">
        <v>HU 5.5</v>
      </c>
      <c r="E39" s="14" t="str">
        <v>APP_043</v>
      </c>
      <c r="F39" s="14" t="str">
        <v>Crear pantalla principal de inventario</v>
      </c>
      <c r="G39" s="14" t="str">
        <v>Finalizada</v>
      </c>
    </row>
    <row r="40" spans="2:7" ht="28.8" x14ac:dyDescent="0.3">
      <c r="B40" s="14" t="str">
        <v>Gestión de Taller de Mantención</v>
      </c>
      <c r="C40" s="14" t="str">
        <v>Como Admin Taller o Mecánico quiero ver un resumen del inventario del taller para conocer el estado general del inventario</v>
      </c>
      <c r="D40" s="14" t="str">
        <v>HU 5.5</v>
      </c>
      <c r="E40" s="14" t="str">
        <v>APP_044</v>
      </c>
      <c r="F40" s="14" t="str">
        <v>Implementar estadísticas del inventario</v>
      </c>
      <c r="G40" s="14" t="str">
        <v>Finalizada</v>
      </c>
    </row>
    <row r="41" spans="2:7" ht="28.8" x14ac:dyDescent="0.3">
      <c r="B41" s="14" t="str">
        <v>Gestión de Taller de Mantención</v>
      </c>
      <c r="C41" s="14" t="str">
        <v>Como Admin Taller o Mecánico quiero ver un resumen del inventario del taller para conocer el estado general del inventario</v>
      </c>
      <c r="D41" s="14" t="str">
        <v>HU 5.5</v>
      </c>
      <c r="E41" s="14" t="str">
        <v>APP_045</v>
      </c>
      <c r="F41" s="14" t="str">
        <v>Implementar sistema de búsqueda en inventario</v>
      </c>
      <c r="G41" s="14" t="str">
        <v>Finalizada</v>
      </c>
    </row>
    <row r="42" spans="2:7" ht="28.8" x14ac:dyDescent="0.3">
      <c r="B42" s="14" t="str">
        <v>Gestión de Taller de Mantención</v>
      </c>
      <c r="C42" s="14" t="str">
        <v>Como Admin Taller o Mecánico quiero ver un resumen del inventario del taller para conocer el estado general del inventario</v>
      </c>
      <c r="D42" s="14" t="str">
        <v>HU 5.5</v>
      </c>
      <c r="E42" s="14" t="str">
        <v>APP_046</v>
      </c>
      <c r="F42" s="14" t="str">
        <v>Implementar filtro de disponibilidad</v>
      </c>
      <c r="G42" s="14" t="str">
        <v>Finalizada</v>
      </c>
    </row>
    <row r="43" spans="2:7" ht="28.8" x14ac:dyDescent="0.3">
      <c r="B43" s="14" t="str">
        <v>Gestión de Taller de Mantención</v>
      </c>
      <c r="C43" s="14" t="str">
        <v>Como Admin Taller o Mecánico quiero ver un resumen del inventario del taller para conocer el estado general del inventario</v>
      </c>
      <c r="D43" s="14" t="str">
        <v>HU 5.5</v>
      </c>
      <c r="E43" s="14" t="str">
        <v>APP_047</v>
      </c>
      <c r="F43" s="14" t="str">
        <v>Implementar lista de items del inventario</v>
      </c>
      <c r="G43" s="14" t="str">
        <v>Finalizada</v>
      </c>
    </row>
    <row r="44" spans="2:7" ht="28.8" x14ac:dyDescent="0.3">
      <c r="B44" s="14" t="str">
        <v>Gestión de Taller de Mantención</v>
      </c>
      <c r="C44" s="14" t="str">
        <v>Como Admin Taller o Mecánico quiero ver un resumen del inventario del taller para conocer el estado general del inventario</v>
      </c>
      <c r="D44" s="14" t="str">
        <v>HU 5.5</v>
      </c>
      <c r="E44" s="14" t="str">
        <v>APP_048</v>
      </c>
      <c r="F44" s="14" t="str">
        <v>Crear diálogo de agregar repuesto al inventario</v>
      </c>
      <c r="G44" s="14" t="str">
        <v>Finalizada</v>
      </c>
    </row>
    <row r="45" spans="2:7" ht="28.8" x14ac:dyDescent="0.3">
      <c r="B45" s="14" t="str">
        <v>Gestión de Taller de Mantención</v>
      </c>
      <c r="C45" s="14" t="str">
        <v>Como Admin Taller o Mecánico quiero ver un resumen del inventario del taller para conocer el estado general del inventario</v>
      </c>
      <c r="D45" s="14" t="str">
        <v>HU 5.5</v>
      </c>
      <c r="E45" s="14" t="str">
        <v>APP_049</v>
      </c>
      <c r="F45" s="14" t="str">
        <v>Crear diálogo de editar repuesto del inventario</v>
      </c>
      <c r="G45" s="14" t="str">
        <v>Finalizada</v>
      </c>
    </row>
    <row r="46" spans="2:7" ht="28.8" x14ac:dyDescent="0.3">
      <c r="B46" s="14" t="str">
        <v>Gestión de Taller de Mantención</v>
      </c>
      <c r="C46" s="14" t="str">
        <v>Como Admin Taller o Mecánico quiero ver un resumen del inventario del taller para conocer el estado general del inventario</v>
      </c>
      <c r="D46" s="14" t="str">
        <v>HU 5.5</v>
      </c>
      <c r="E46" s="14" t="str">
        <v>APP_050</v>
      </c>
      <c r="F46" s="14" t="str">
        <v>Crear diálogo de confirmación de eliminación</v>
      </c>
      <c r="G46" s="14" t="str">
        <v>Finalizada</v>
      </c>
    </row>
    <row r="47" spans="2:7" ht="28.8" x14ac:dyDescent="0.3">
      <c r="B47" s="14" t="str">
        <v>Gestión de Taller de Mantención</v>
      </c>
      <c r="C47" s="14" t="str">
        <v>Como Admin Taller o Mecánico quiero ver un resumen del inventario del taller para conocer el estado general del inventario</v>
      </c>
      <c r="D47" s="14" t="str">
        <v>HU 5.5</v>
      </c>
      <c r="E47" s="14" t="str">
        <v>APP_051</v>
      </c>
      <c r="F47" s="14" t="str">
        <v>Implementar gestión crud de inventario</v>
      </c>
      <c r="G47" s="14" t="str">
        <v>Finalizada</v>
      </c>
    </row>
    <row r="48" spans="2:7" ht="28.8" x14ac:dyDescent="0.3"/>
    <row r="49" ht="28.8" x14ac:dyDescent="0.3"/>
    <row r="50" ht="28.8" x14ac:dyDescent="0.3"/>
    <row r="51" ht="28.8" x14ac:dyDescent="0.3"/>
    <row r="52" ht="28.8" x14ac:dyDescent="0.3"/>
    <row r="53" ht="28.8" x14ac:dyDescent="0.3"/>
    <row r="54" ht="28.8" x14ac:dyDescent="0.3"/>
    <row r="55" ht="28.8" x14ac:dyDescent="0.3"/>
    <row r="56" ht="28.8" x14ac:dyDescent="0.3"/>
    <row r="57" ht="28.8" x14ac:dyDescent="0.3"/>
    <row r="58" ht="28.8" x14ac:dyDescent="0.3"/>
    <row r="59" ht="28.8" x14ac:dyDescent="0.3"/>
    <row r="60" ht="28.8" x14ac:dyDescent="0.3"/>
    <row r="61" ht="28.8" x14ac:dyDescent="0.3"/>
    <row r="62" ht="28.8" x14ac:dyDescent="0.3"/>
    <row r="63" ht="28.8" x14ac:dyDescent="0.3"/>
    <row r="64" ht="28.8" x14ac:dyDescent="0.3"/>
    <row r="65" ht="28.8" x14ac:dyDescent="0.3"/>
    <row r="66" ht="28.8" x14ac:dyDescent="0.3"/>
    <row r="67" ht="28.8" x14ac:dyDescent="0.3"/>
    <row r="68" ht="28.8" x14ac:dyDescent="0.3"/>
    <row r="69" ht="28.8" x14ac:dyDescent="0.3"/>
    <row r="70" ht="28.8" x14ac:dyDescent="0.3"/>
    <row r="71" ht="28.8" x14ac:dyDescent="0.3"/>
    <row r="72" ht="43.2" x14ac:dyDescent="0.3"/>
    <row r="73" ht="43.2" x14ac:dyDescent="0.3"/>
    <row r="74" ht="43.2" x14ac:dyDescent="0.3"/>
    <row r="75" ht="43.2" x14ac:dyDescent="0.3"/>
    <row r="76" ht="43.2" x14ac:dyDescent="0.3"/>
    <row r="77" ht="43.2" x14ac:dyDescent="0.3"/>
    <row r="78" ht="43.2" x14ac:dyDescent="0.3"/>
    <row r="79" ht="43.2" x14ac:dyDescent="0.3"/>
    <row r="80" ht="43.2" x14ac:dyDescent="0.3"/>
    <row r="81" ht="43.2" x14ac:dyDescent="0.3"/>
    <row r="82" ht="43.2" x14ac:dyDescent="0.3"/>
    <row r="83" ht="43.2" x14ac:dyDescent="0.3"/>
    <row r="84" ht="43.2" x14ac:dyDescent="0.3"/>
    <row r="85" ht="43.2" x14ac:dyDescent="0.3"/>
    <row r="86" ht="28.8" x14ac:dyDescent="0.3"/>
    <row r="87" ht="28.8" x14ac:dyDescent="0.3"/>
    <row r="88" ht="28.8" x14ac:dyDescent="0.3"/>
    <row r="89" ht="28.8" x14ac:dyDescent="0.3"/>
    <row r="90" ht="43.2" x14ac:dyDescent="0.3"/>
    <row r="91" ht="28.8" x14ac:dyDescent="0.3"/>
    <row r="92" ht="28.8" x14ac:dyDescent="0.3"/>
    <row r="93" ht="28.8" x14ac:dyDescent="0.3"/>
    <row r="94" ht="28.8" x14ac:dyDescent="0.3"/>
    <row r="95" ht="28.8" x14ac:dyDescent="0.3"/>
    <row r="96" ht="28.8" x14ac:dyDescent="0.3"/>
    <row r="97" ht="28.8" x14ac:dyDescent="0.3"/>
    <row r="98" ht="28.8" x14ac:dyDescent="0.3"/>
    <row r="99" ht="28.8" x14ac:dyDescent="0.3"/>
    <row r="100" ht="28.8" x14ac:dyDescent="0.3"/>
    <row r="101" ht="28.8" x14ac:dyDescent="0.3"/>
    <row r="102" ht="28.8" x14ac:dyDescent="0.3"/>
    <row r="103" ht="28.8" x14ac:dyDescent="0.3"/>
    <row r="104" ht="28.8" x14ac:dyDescent="0.3"/>
    <row r="105" ht="28.8" x14ac:dyDescent="0.3"/>
    <row r="106" ht="28.8" x14ac:dyDescent="0.3"/>
    <row r="107" ht="28.8" x14ac:dyDescent="0.3"/>
    <row r="108" ht="28.8" x14ac:dyDescent="0.3"/>
    <row r="109" ht="28.8" x14ac:dyDescent="0.3"/>
    <row r="110" ht="28.8" x14ac:dyDescent="0.3"/>
    <row r="111" ht="28.8" x14ac:dyDescent="0.3"/>
    <row r="112" ht="28.8" x14ac:dyDescent="0.3"/>
    <row r="113" ht="28.8" x14ac:dyDescent="0.3"/>
    <row r="114" ht="28.8" x14ac:dyDescent="0.3"/>
    <row r="115" ht="28.8" x14ac:dyDescent="0.3"/>
    <row r="116" ht="28.8" x14ac:dyDescent="0.3"/>
    <row r="117" ht="28.8" x14ac:dyDescent="0.3"/>
    <row r="118" ht="28.8" x14ac:dyDescent="0.3"/>
    <row r="119" ht="28.8" x14ac:dyDescent="0.3"/>
    <row r="120" ht="28.8" x14ac:dyDescent="0.3"/>
    <row r="121" ht="28.8" x14ac:dyDescent="0.3"/>
    <row r="122" ht="28.8" x14ac:dyDescent="0.3"/>
    <row r="123" ht="28.8" x14ac:dyDescent="0.3"/>
    <row r="124" ht="28.8" x14ac:dyDescent="0.3"/>
    <row r="125" ht="28.8" x14ac:dyDescent="0.3"/>
    <row r="126" ht="28.8" x14ac:dyDescent="0.3"/>
    <row r="127" ht="28.8" x14ac:dyDescent="0.3"/>
    <row r="128" ht="28.8" x14ac:dyDescent="0.3"/>
    <row r="129" ht="28.8" x14ac:dyDescent="0.3"/>
    <row r="130" ht="28.8" x14ac:dyDescent="0.3"/>
    <row r="131" ht="28.8" x14ac:dyDescent="0.3"/>
    <row r="132" ht="28.8" x14ac:dyDescent="0.3"/>
    <row r="133" ht="28.8" x14ac:dyDescent="0.3"/>
    <row r="134" ht="28.8" x14ac:dyDescent="0.3"/>
    <row r="135" ht="28.8" x14ac:dyDescent="0.3"/>
    <row r="136" ht="43.2" x14ac:dyDescent="0.3"/>
    <row r="137" ht="43.2" x14ac:dyDescent="0.3"/>
    <row r="138" ht="43.2" x14ac:dyDescent="0.3"/>
    <row r="139" ht="43.2" x14ac:dyDescent="0.3"/>
    <row r="140" ht="43.2" x14ac:dyDescent="0.3"/>
  </sheetData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4" operator="equal" id="{6206692E-D71C-49CB-9B98-B3E7F5DB9191}">
            <xm:f>Epicas!$C$8</xm:f>
            <x14:dxf>
              <fill>
                <patternFill>
                  <bgColor rgb="FFBA8CDC"/>
                </patternFill>
              </fill>
            </x14:dxf>
          </x14:cfRule>
          <x14:cfRule type="cellIs" priority="5" operator="equal" id="{9AAF1EE6-3BF6-4DE4-8332-2819C7526400}">
            <xm:f>Epicas!$C$7</xm:f>
            <x14:dxf>
              <fill>
                <patternFill>
                  <bgColor theme="7" tint="0.39994506668294322"/>
                </patternFill>
              </fill>
            </x14:dxf>
          </x14:cfRule>
          <x14:cfRule type="cellIs" priority="6" operator="equal" id="{AD3D7291-F28F-4DD8-8978-5D3B7721F278}">
            <xm:f>Epicas!$C$6</xm:f>
            <x14:dxf>
              <fill>
                <patternFill>
                  <bgColor theme="8" tint="0.39994506668294322"/>
                </patternFill>
              </fill>
            </x14:dxf>
          </x14:cfRule>
          <x14:cfRule type="cellIs" priority="7" operator="equal" id="{3B80AA1F-0220-460E-8E83-98348CCF8E8F}">
            <xm:f>Epicas!$C$5</xm:f>
            <x14:dxf>
              <fill>
                <patternFill>
                  <bgColor theme="9" tint="0.39994506668294322"/>
                </patternFill>
              </fill>
            </x14:dxf>
          </x14:cfRule>
          <xm:sqref>B1:B1048576</xm:sqref>
        </x14:conditionalFormatting>
        <x14:conditionalFormatting xmlns:xm="http://schemas.microsoft.com/office/excel/2006/main">
          <x14:cfRule type="cellIs" priority="1" operator="equal" id="{596416F2-D7A1-4F8F-BC69-40537FA37FD9}">
            <xm:f>Configuración!$F$7</xm:f>
            <x14:dxf>
              <fill>
                <patternFill>
                  <bgColor theme="6" tint="0.39994506668294322"/>
                </patternFill>
              </fill>
            </x14:dxf>
          </x14:cfRule>
          <x14:cfRule type="cellIs" priority="2" operator="equal" id="{0120E441-C948-47BC-91C3-AF00BD101597}">
            <xm:f>Configuración!$F$6</xm:f>
            <x14:dxf>
              <font>
                <color rgb="FF9C5700"/>
              </font>
              <fill>
                <patternFill>
                  <bgColor rgb="FFFFEB9C"/>
                </patternFill>
              </fill>
            </x14:dxf>
          </x14:cfRule>
          <x14:cfRule type="cellIs" priority="3" operator="equal" id="{4C17CC4C-3B1E-48AE-93AC-C58C448E23DD}">
            <xm:f>Configuración!$F$5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G1:G1048576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28A3DCE-11CA-4656-9D6F-CDB197AE9FC6}">
          <x14:formula1>
            <xm:f>Configuración!$G$5:$G$12</xm:f>
          </x14:formula1>
          <xm:sqref>C3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22FE2F-76DE-4DED-BB8B-9203BB033089}">
  <sheetPr>
    <tabColor rgb="FFFF0000"/>
  </sheetPr>
  <dimension ref="B4:J26"/>
  <sheetViews>
    <sheetView tabSelected="1" zoomScale="80" zoomScaleNormal="82" workbookViewId="0">
      <selection activeCell="I30" sqref="I30"/>
    </sheetView>
  </sheetViews>
  <sheetFormatPr baseColWidth="10" defaultRowHeight="14.4" x14ac:dyDescent="0.3"/>
  <cols>
    <col min="3" max="3" width="13" customWidth="1"/>
    <col min="8" max="8" width="17.21875" customWidth="1"/>
    <col min="10" max="10" width="13.21875" customWidth="1"/>
    <col min="11" max="11" width="11.5546875" customWidth="1"/>
  </cols>
  <sheetData>
    <row r="4" spans="2:10" x14ac:dyDescent="0.3">
      <c r="B4" s="33" t="s">
        <v>1190</v>
      </c>
      <c r="E4" s="4" t="s">
        <v>1185</v>
      </c>
      <c r="H4" t="s">
        <v>1229</v>
      </c>
      <c r="I4">
        <f>SUM(C5,F5,C11,F11,C17,F17,C23)</f>
        <v>542</v>
      </c>
      <c r="J4" s="39">
        <f>_xlfn.PERCENTOF(I4,$I$4:$I$7)</f>
        <v>0.9360967184801382</v>
      </c>
    </row>
    <row r="5" spans="2:10" x14ac:dyDescent="0.3">
      <c r="B5" s="33" t="s">
        <v>17</v>
      </c>
      <c r="C5" s="2">
        <f>COUNTIFS(T_Tarea[Sprint], B4, T_Tarea[Estado], B5)</f>
        <v>9</v>
      </c>
      <c r="E5" s="4" t="s">
        <v>17</v>
      </c>
      <c r="F5" s="2">
        <f>COUNTIFS(T_Tarea[Sprint], E4, T_Tarea[Estado], E5)</f>
        <v>19</v>
      </c>
      <c r="H5" t="s">
        <v>1230</v>
      </c>
      <c r="I5">
        <f>SUM(C6,F6,C12,F12,C18,F18,C24)</f>
        <v>22</v>
      </c>
      <c r="J5" s="39">
        <f t="shared" ref="J5:J7" si="0">_xlfn.PERCENTOF(I5,$I$4:$I$7)</f>
        <v>3.7996545768566495E-2</v>
      </c>
    </row>
    <row r="6" spans="2:10" x14ac:dyDescent="0.3">
      <c r="B6" s="33" t="s">
        <v>32</v>
      </c>
      <c r="C6" s="2">
        <f>COUNTIFS(T_Tarea[Sprint], B4, T_Tarea[Estado], B6)</f>
        <v>0</v>
      </c>
      <c r="E6" s="4" t="s">
        <v>32</v>
      </c>
      <c r="F6" s="2">
        <f>COUNTIFS(T_Tarea[Sprint], E4, T_Tarea[Estado], E6)</f>
        <v>0</v>
      </c>
      <c r="H6" t="s">
        <v>1231</v>
      </c>
      <c r="I6">
        <f>SUM(C7,F7,C13,F13,C19,F19,C25)</f>
        <v>2</v>
      </c>
      <c r="J6" s="39">
        <f t="shared" si="0"/>
        <v>3.4542314335060447E-3</v>
      </c>
    </row>
    <row r="7" spans="2:10" x14ac:dyDescent="0.3">
      <c r="B7" s="33" t="s">
        <v>33</v>
      </c>
      <c r="C7" s="2">
        <f>COUNTIFS(T_Tarea[Sprint], B4, T_Tarea[Estado], B7)</f>
        <v>0</v>
      </c>
      <c r="E7" s="4" t="s">
        <v>33</v>
      </c>
      <c r="F7" s="2">
        <f>COUNTIFS(T_Tarea[Sprint], E4, T_Tarea[Estado], E7)</f>
        <v>2</v>
      </c>
      <c r="H7" t="s">
        <v>1232</v>
      </c>
      <c r="I7">
        <f>SUM(C8,F8,C14,F14,C20,F20,C26)</f>
        <v>13</v>
      </c>
      <c r="J7" s="39">
        <f t="shared" si="0"/>
        <v>2.2452504317789293E-2</v>
      </c>
    </row>
    <row r="8" spans="2:10" x14ac:dyDescent="0.3">
      <c r="B8" s="33" t="s">
        <v>1217</v>
      </c>
      <c r="C8" s="2">
        <f>COUNTIFS(T_Tarea[Sprint], B4, T_Tarea[Estado], B8)</f>
        <v>0</v>
      </c>
      <c r="E8" s="4" t="s">
        <v>1217</v>
      </c>
      <c r="F8" s="2">
        <f>COUNTIFS(T_Tarea[Sprint], E4, T_Tarea[Estado], E8)</f>
        <v>0</v>
      </c>
    </row>
    <row r="10" spans="2:10" x14ac:dyDescent="0.3">
      <c r="B10" s="34" t="s">
        <v>1189</v>
      </c>
      <c r="E10" s="35" t="s">
        <v>1191</v>
      </c>
    </row>
    <row r="11" spans="2:10" x14ac:dyDescent="0.3">
      <c r="B11" s="34" t="s">
        <v>17</v>
      </c>
      <c r="C11" s="2">
        <f>COUNTIFS(T_Tarea[Sprint], B10, T_Tarea[Estado], B11)</f>
        <v>42</v>
      </c>
      <c r="E11" s="35" t="s">
        <v>17</v>
      </c>
      <c r="F11" s="2">
        <f>COUNTIFS(T_Tarea[Sprint], E10, T_Tarea[Estado], E11)</f>
        <v>161</v>
      </c>
    </row>
    <row r="12" spans="2:10" x14ac:dyDescent="0.3">
      <c r="B12" s="34" t="s">
        <v>32</v>
      </c>
      <c r="C12" s="2">
        <f>COUNTIFS(T_Tarea[Sprint], B10, T_Tarea[Estado], B12)</f>
        <v>0</v>
      </c>
      <c r="E12" s="35" t="s">
        <v>32</v>
      </c>
      <c r="F12" s="2">
        <f>COUNTIFS(T_Tarea[Sprint], E10, T_Tarea[Estado], E12)</f>
        <v>0</v>
      </c>
    </row>
    <row r="13" spans="2:10" x14ac:dyDescent="0.3">
      <c r="B13" s="34" t="s">
        <v>33</v>
      </c>
      <c r="C13" s="2">
        <f>COUNTIFS(T_Tarea[Sprint], B10, T_Tarea[Estado], B13)</f>
        <v>0</v>
      </c>
      <c r="E13" s="35" t="s">
        <v>33</v>
      </c>
      <c r="F13" s="2">
        <f>COUNTIFS(T_Tarea[Sprint], E10, T_Tarea[Estado], E13)</f>
        <v>0</v>
      </c>
    </row>
    <row r="14" spans="2:10" x14ac:dyDescent="0.3">
      <c r="B14" s="34" t="s">
        <v>1217</v>
      </c>
      <c r="C14" s="2">
        <f>COUNTIFS(T_Tarea[Sprint], B10, T_Tarea[Estado], B14)</f>
        <v>0</v>
      </c>
      <c r="E14" s="35" t="s">
        <v>1217</v>
      </c>
      <c r="F14" s="2">
        <f>COUNTIFS(T_Tarea[Sprint], E10, T_Tarea[Estado], E14)</f>
        <v>10</v>
      </c>
    </row>
    <row r="16" spans="2:10" x14ac:dyDescent="0.3">
      <c r="B16" s="36" t="s">
        <v>1192</v>
      </c>
      <c r="E16" s="37" t="s">
        <v>1193</v>
      </c>
    </row>
    <row r="17" spans="2:6" x14ac:dyDescent="0.3">
      <c r="B17" s="36" t="s">
        <v>17</v>
      </c>
      <c r="C17" s="2">
        <f>COUNTIFS(T_Tarea[Sprint], B16, T_Tarea[Estado], B17)</f>
        <v>67</v>
      </c>
      <c r="E17" s="37" t="s">
        <v>17</v>
      </c>
      <c r="F17" s="2">
        <f>COUNTIFS(T_Tarea[Sprint], E16, T_Tarea[Estado], E17)</f>
        <v>131</v>
      </c>
    </row>
    <row r="18" spans="2:6" x14ac:dyDescent="0.3">
      <c r="B18" s="36" t="s">
        <v>32</v>
      </c>
      <c r="C18" s="2">
        <f>COUNTIFS(T_Tarea[Sprint], B16, T_Tarea[Estado], B18)</f>
        <v>0</v>
      </c>
      <c r="E18" s="37" t="s">
        <v>32</v>
      </c>
      <c r="F18" s="2">
        <f>COUNTIFS(T_Tarea[Sprint], E16, T_Tarea[Estado], E18)</f>
        <v>0</v>
      </c>
    </row>
    <row r="19" spans="2:6" x14ac:dyDescent="0.3">
      <c r="B19" s="36" t="s">
        <v>33</v>
      </c>
      <c r="C19" s="2">
        <f>COUNTIFS(T_Tarea[Sprint], B16, T_Tarea[Estado], B19)</f>
        <v>0</v>
      </c>
      <c r="E19" s="37" t="s">
        <v>33</v>
      </c>
      <c r="F19" s="2">
        <f>COUNTIFS(T_Tarea[Sprint], E16, T_Tarea[Estado], E19)</f>
        <v>0</v>
      </c>
    </row>
    <row r="20" spans="2:6" x14ac:dyDescent="0.3">
      <c r="B20" s="36" t="s">
        <v>1217</v>
      </c>
      <c r="C20" s="2">
        <f>COUNTIFS(T_Tarea[Sprint], B16, T_Tarea[Estado], B20)</f>
        <v>3</v>
      </c>
      <c r="E20" s="37" t="s">
        <v>1217</v>
      </c>
      <c r="F20" s="2">
        <f>COUNTIFS(T_Tarea[Sprint], E16, T_Tarea[Estado], E20)</f>
        <v>0</v>
      </c>
    </row>
    <row r="22" spans="2:6" x14ac:dyDescent="0.3">
      <c r="B22" s="38" t="s">
        <v>1194</v>
      </c>
    </row>
    <row r="23" spans="2:6" x14ac:dyDescent="0.3">
      <c r="B23" s="38" t="s">
        <v>17</v>
      </c>
      <c r="C23" s="2">
        <f>COUNTIFS(T_Tarea[Sprint], B22, T_Tarea[Estado], B23)</f>
        <v>113</v>
      </c>
    </row>
    <row r="24" spans="2:6" x14ac:dyDescent="0.3">
      <c r="B24" s="38" t="s">
        <v>32</v>
      </c>
      <c r="C24" s="2">
        <f>COUNTIFS(T_Tarea[Sprint], B22, T_Tarea[Estado], B24)</f>
        <v>22</v>
      </c>
    </row>
    <row r="25" spans="2:6" x14ac:dyDescent="0.3">
      <c r="B25" s="38" t="s">
        <v>33</v>
      </c>
      <c r="C25" s="2">
        <f>COUNTIFS(T_Tarea[Sprint], B22, T_Tarea[Estado], B25)</f>
        <v>0</v>
      </c>
    </row>
    <row r="26" spans="2:6" x14ac:dyDescent="0.3">
      <c r="B26" s="38" t="s">
        <v>1217</v>
      </c>
      <c r="C26" s="2">
        <f>COUNTIFS(T_Tarea[Sprint], B22, T_Tarea[Estado], B26)</f>
        <v>0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EC2113-C897-4855-AE84-660F1EB936E7}">
  <sheetPr>
    <tabColor theme="2" tint="-0.499984740745262"/>
  </sheetPr>
  <dimension ref="C4:G12"/>
  <sheetViews>
    <sheetView workbookViewId="0">
      <selection activeCell="G11" sqref="G11:G12"/>
    </sheetView>
  </sheetViews>
  <sheetFormatPr baseColWidth="10" defaultRowHeight="14.4" x14ac:dyDescent="0.3"/>
  <cols>
    <col min="2" max="2" width="13.5546875" customWidth="1"/>
    <col min="3" max="3" width="13.33203125" customWidth="1"/>
  </cols>
  <sheetData>
    <row r="4" spans="3:7" x14ac:dyDescent="0.3">
      <c r="C4" s="1" t="s">
        <v>22</v>
      </c>
      <c r="D4" s="1" t="s">
        <v>13</v>
      </c>
      <c r="E4" s="1" t="s">
        <v>18</v>
      </c>
      <c r="F4" s="1" t="s">
        <v>31</v>
      </c>
      <c r="G4" s="1" t="s">
        <v>1228</v>
      </c>
    </row>
    <row r="5" spans="3:7" x14ac:dyDescent="0.3">
      <c r="C5" t="s">
        <v>23</v>
      </c>
      <c r="D5" t="s">
        <v>14</v>
      </c>
      <c r="E5" t="s">
        <v>19</v>
      </c>
      <c r="F5" t="s">
        <v>17</v>
      </c>
      <c r="G5" t="s">
        <v>1190</v>
      </c>
    </row>
    <row r="6" spans="3:7" x14ac:dyDescent="0.3">
      <c r="C6" t="s">
        <v>24</v>
      </c>
      <c r="D6" t="s">
        <v>15</v>
      </c>
      <c r="E6" t="s">
        <v>20</v>
      </c>
      <c r="F6" t="s">
        <v>32</v>
      </c>
      <c r="G6" t="s">
        <v>1185</v>
      </c>
    </row>
    <row r="7" spans="3:7" x14ac:dyDescent="0.3">
      <c r="C7" t="s">
        <v>25</v>
      </c>
      <c r="D7" t="s">
        <v>16</v>
      </c>
      <c r="E7" t="s">
        <v>21</v>
      </c>
      <c r="F7" t="s">
        <v>33</v>
      </c>
      <c r="G7" t="s">
        <v>1189</v>
      </c>
    </row>
    <row r="8" spans="3:7" x14ac:dyDescent="0.3">
      <c r="D8" t="s">
        <v>17</v>
      </c>
      <c r="F8" t="s">
        <v>1217</v>
      </c>
      <c r="G8" t="s">
        <v>1191</v>
      </c>
    </row>
    <row r="9" spans="3:7" x14ac:dyDescent="0.3">
      <c r="G9" t="s">
        <v>1192</v>
      </c>
    </row>
    <row r="10" spans="3:7" x14ac:dyDescent="0.3">
      <c r="G10" t="s">
        <v>1193</v>
      </c>
    </row>
    <row r="11" spans="3:7" x14ac:dyDescent="0.3">
      <c r="G11" t="s">
        <v>1194</v>
      </c>
    </row>
    <row r="12" spans="3:7" x14ac:dyDescent="0.3">
      <c r="G12" t="s">
        <v>1270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Epicas</vt:lpstr>
      <vt:lpstr>Historias de Usuario</vt:lpstr>
      <vt:lpstr>Tareas</vt:lpstr>
      <vt:lpstr>Sprint</vt:lpstr>
      <vt:lpstr>Estadísticas Sprints</vt:lpstr>
      <vt:lpstr>Configuración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Quintanilla</dc:creator>
  <cp:lastModifiedBy>CHRISTIAN ANDRES QUINTANILLA GALLARDO</cp:lastModifiedBy>
  <dcterms:created xsi:type="dcterms:W3CDTF">2015-06-05T18:19:34Z</dcterms:created>
  <dcterms:modified xsi:type="dcterms:W3CDTF">2025-12-07T01:07:53Z</dcterms:modified>
</cp:coreProperties>
</file>